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ary Sheet" sheetId="1" state="visible" r:id="rId1"/>
    <sheet xmlns:r="http://schemas.openxmlformats.org/officeDocument/2006/relationships" name="Advance Sheet" sheetId="2" state="visible" r:id="rId2"/>
  </sheets>
  <definedNames>
    <definedName name="_xlnm._FilterDatabase" localSheetId="0" hidden="1">'Salary Sheet'!$A$5:$P$104</definedName>
    <definedName name="_xlnm._FilterDatabase" localSheetId="1" hidden="1">'Advance Sheet'!$A$5:$L$105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mmmm"/>
    <numFmt numFmtId="165" formatCode="₹#,##0.00;[Red]-₹#,##0.0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2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10" customWidth="1" min="3" max="3"/>
    <col width="9" customWidth="1" min="4" max="4"/>
    <col width="12" customWidth="1" min="5" max="5"/>
    <col width="13" customWidth="1" min="6" max="6"/>
    <col width="13" customWidth="1" min="7" max="7"/>
    <col width="14" customWidth="1" min="8" max="8"/>
    <col width="1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  <col width="14" customWidth="1" min="15" max="15"/>
    <col width="16" customWidth="1" min="16" max="16"/>
  </cols>
  <sheetData>
    <row r="1">
      <c r="A1" s="1" t="inlineStr">
        <is>
          <t>HUBLI</t>
        </is>
      </c>
    </row>
    <row r="2">
      <c r="A2" s="2" t="inlineStr">
        <is>
          <t>SALARY REGISTER</t>
        </is>
      </c>
    </row>
    <row r="3">
      <c r="A3" t="inlineStr">
        <is>
          <t>Month:</t>
        </is>
      </c>
      <c r="B3" s="3" t="inlineStr"/>
      <c r="D3" t="inlineStr">
        <is>
          <t>Year:</t>
        </is>
      </c>
      <c r="E3" s="4" t="n">
        <v>2026</v>
      </c>
    </row>
    <row r="5" ht="30" customHeight="1">
      <c r="A5" s="5" t="inlineStr">
        <is>
          <t>Sr. No</t>
        </is>
      </c>
      <c r="B5" s="5" t="inlineStr">
        <is>
          <t>NAME</t>
        </is>
      </c>
      <c r="C5" s="5" t="inlineStr">
        <is>
          <t>P Day</t>
        </is>
      </c>
      <c r="D5" s="5" t="inlineStr">
        <is>
          <t>OT</t>
        </is>
      </c>
      <c r="E5" s="5" t="inlineStr">
        <is>
          <t>Total Day</t>
        </is>
      </c>
      <c r="F5" s="5" t="inlineStr">
        <is>
          <t>RATE</t>
        </is>
      </c>
      <c r="G5" s="5" t="inlineStr">
        <is>
          <t>Per Day</t>
        </is>
      </c>
      <c r="H5" s="5" t="inlineStr">
        <is>
          <t>Salary</t>
        </is>
      </c>
      <c r="I5" s="5" t="inlineStr">
        <is>
          <t>OT Amount</t>
        </is>
      </c>
      <c r="J5" s="5" t="inlineStr">
        <is>
          <t>Total Salary</t>
        </is>
      </c>
      <c r="K5" s="5" t="inlineStr">
        <is>
          <t>Advance</t>
        </is>
      </c>
      <c r="L5" s="5" t="inlineStr">
        <is>
          <t>Rcd Advance</t>
        </is>
      </c>
      <c r="M5" s="5" t="inlineStr">
        <is>
          <t>Room Rent</t>
        </is>
      </c>
      <c r="N5" s="5" t="inlineStr">
        <is>
          <t>Other</t>
        </is>
      </c>
      <c r="O5" s="5" t="inlineStr">
        <is>
          <t>Back Salary</t>
        </is>
      </c>
      <c r="P5" s="5" t="inlineStr">
        <is>
          <t>Salary Payable</t>
        </is>
      </c>
    </row>
    <row r="6">
      <c r="A6" s="6">
        <f>IF(B6="","",ROW()-5)</f>
        <v/>
      </c>
      <c r="B6" s="7" t="n"/>
      <c r="C6" s="8" t="n"/>
      <c r="D6" s="8" t="n"/>
      <c r="E6" s="8">
        <f>IF(B6="","",C6+D6)</f>
        <v/>
      </c>
      <c r="F6" s="9" t="n"/>
      <c r="G6" s="9">
        <f>IFERROR(F6/30,0)</f>
        <v/>
      </c>
      <c r="H6" s="9">
        <f>IF(B6="","",E6*G6)</f>
        <v/>
      </c>
      <c r="I6" s="9" t="n"/>
      <c r="J6" s="9">
        <f>IF(B6="","",H6+I6)</f>
        <v/>
      </c>
      <c r="K6" s="9">
        <f>IF(B6="","",IFERROR(INDEX('Advance Sheet'!$L$6:$L$105,MATCH(B6,'Advance Sheet'!$B$6:$B$105,0)),0))</f>
        <v/>
      </c>
      <c r="L6" s="9" t="n"/>
      <c r="M6" s="9" t="n"/>
      <c r="N6" s="9" t="n"/>
      <c r="O6" s="9" t="n"/>
      <c r="P6" s="9">
        <f>IF(B6="","",J6-K6-M6-N6+O6)</f>
        <v/>
      </c>
    </row>
    <row r="7">
      <c r="A7" s="6">
        <f>IF(B7="","",ROW()-5)</f>
        <v/>
      </c>
      <c r="B7" s="7" t="n"/>
      <c r="C7" s="8" t="n"/>
      <c r="D7" s="8" t="n"/>
      <c r="E7" s="8">
        <f>IF(B7="","",C7+D7)</f>
        <v/>
      </c>
      <c r="F7" s="9" t="n"/>
      <c r="G7" s="9">
        <f>IFERROR(F7/30,0)</f>
        <v/>
      </c>
      <c r="H7" s="9">
        <f>IF(B7="","",E7*G7)</f>
        <v/>
      </c>
      <c r="I7" s="9" t="n"/>
      <c r="J7" s="9">
        <f>IF(B7="","",H7+I7)</f>
        <v/>
      </c>
      <c r="K7" s="9">
        <f>IF(B7="","",IFERROR(INDEX('Advance Sheet'!$L$6:$L$105,MATCH(B7,'Advance Sheet'!$B$6:$B$105,0)),0))</f>
        <v/>
      </c>
      <c r="L7" s="9" t="n"/>
      <c r="M7" s="9" t="n"/>
      <c r="N7" s="9" t="n"/>
      <c r="O7" s="9" t="n"/>
      <c r="P7" s="9">
        <f>IF(B7="","",J7-K7-M7-N7+O7)</f>
        <v/>
      </c>
    </row>
    <row r="8">
      <c r="A8" s="6">
        <f>IF(B8="","",ROW()-5)</f>
        <v/>
      </c>
      <c r="B8" s="7" t="n"/>
      <c r="C8" s="8" t="n"/>
      <c r="D8" s="8" t="n"/>
      <c r="E8" s="8">
        <f>IF(B8="","",C8+D8)</f>
        <v/>
      </c>
      <c r="F8" s="9" t="n"/>
      <c r="G8" s="9">
        <f>IFERROR(F8/30,0)</f>
        <v/>
      </c>
      <c r="H8" s="9">
        <f>IF(B8="","",E8*G8)</f>
        <v/>
      </c>
      <c r="I8" s="9" t="n"/>
      <c r="J8" s="9">
        <f>IF(B8="","",H8+I8)</f>
        <v/>
      </c>
      <c r="K8" s="9">
        <f>IF(B8="","",IFERROR(INDEX('Advance Sheet'!$L$6:$L$105,MATCH(B8,'Advance Sheet'!$B$6:$B$105,0)),0))</f>
        <v/>
      </c>
      <c r="L8" s="9" t="n"/>
      <c r="M8" s="9" t="n"/>
      <c r="N8" s="9" t="n"/>
      <c r="O8" s="9" t="n"/>
      <c r="P8" s="9">
        <f>IF(B8="","",J8-K8-M8-N8+O8)</f>
        <v/>
      </c>
    </row>
    <row r="9">
      <c r="A9" s="6">
        <f>IF(B9="","",ROW()-5)</f>
        <v/>
      </c>
      <c r="B9" s="7" t="n"/>
      <c r="C9" s="8" t="n"/>
      <c r="D9" s="8" t="n"/>
      <c r="E9" s="8">
        <f>IF(B9="","",C9+D9)</f>
        <v/>
      </c>
      <c r="F9" s="9" t="n"/>
      <c r="G9" s="9">
        <f>IFERROR(F9/30,0)</f>
        <v/>
      </c>
      <c r="H9" s="9">
        <f>IF(B9="","",E9*G9)</f>
        <v/>
      </c>
      <c r="I9" s="9" t="n"/>
      <c r="J9" s="9">
        <f>IF(B9="","",H9+I9)</f>
        <v/>
      </c>
      <c r="K9" s="9">
        <f>IF(B9="","",IFERROR(INDEX('Advance Sheet'!$L$6:$L$105,MATCH(B9,'Advance Sheet'!$B$6:$B$105,0)),0))</f>
        <v/>
      </c>
      <c r="L9" s="9" t="n"/>
      <c r="M9" s="9" t="n"/>
      <c r="N9" s="9" t="n"/>
      <c r="O9" s="9" t="n"/>
      <c r="P9" s="9">
        <f>IF(B9="","",J9-K9-M9-N9+O9)</f>
        <v/>
      </c>
    </row>
    <row r="10">
      <c r="A10" s="6">
        <f>IF(B10="","",ROW()-5)</f>
        <v/>
      </c>
      <c r="B10" s="7" t="n"/>
      <c r="C10" s="8" t="n"/>
      <c r="D10" s="8" t="n"/>
      <c r="E10" s="8">
        <f>IF(B10="","",C10+D10)</f>
        <v/>
      </c>
      <c r="F10" s="9" t="n"/>
      <c r="G10" s="9">
        <f>IFERROR(F10/30,0)</f>
        <v/>
      </c>
      <c r="H10" s="9">
        <f>IF(B10="","",E10*G10)</f>
        <v/>
      </c>
      <c r="I10" s="9" t="n"/>
      <c r="J10" s="9">
        <f>IF(B10="","",H10+I10)</f>
        <v/>
      </c>
      <c r="K10" s="9">
        <f>IF(B10="","",IFERROR(INDEX('Advance Sheet'!$L$6:$L$105,MATCH(B10,'Advance Sheet'!$B$6:$B$105,0)),0))</f>
        <v/>
      </c>
      <c r="L10" s="9" t="n"/>
      <c r="M10" s="9" t="n"/>
      <c r="N10" s="9" t="n"/>
      <c r="O10" s="9" t="n"/>
      <c r="P10" s="9">
        <f>IF(B10="","",J10-K10-M10-N10+O10)</f>
        <v/>
      </c>
    </row>
    <row r="11">
      <c r="A11" s="6">
        <f>IF(B11="","",ROW()-5)</f>
        <v/>
      </c>
      <c r="B11" s="7" t="n"/>
      <c r="C11" s="8" t="n"/>
      <c r="D11" s="8" t="n"/>
      <c r="E11" s="8">
        <f>IF(B11="","",C11+D11)</f>
        <v/>
      </c>
      <c r="F11" s="9" t="n"/>
      <c r="G11" s="9">
        <f>IFERROR(F11/30,0)</f>
        <v/>
      </c>
      <c r="H11" s="9">
        <f>IF(B11="","",E11*G11)</f>
        <v/>
      </c>
      <c r="I11" s="9" t="n"/>
      <c r="J11" s="9">
        <f>IF(B11="","",H11+I11)</f>
        <v/>
      </c>
      <c r="K11" s="9">
        <f>IF(B11="","",IFERROR(INDEX('Advance Sheet'!$L$6:$L$105,MATCH(B11,'Advance Sheet'!$B$6:$B$105,0)),0))</f>
        <v/>
      </c>
      <c r="L11" s="9" t="n"/>
      <c r="M11" s="9" t="n"/>
      <c r="N11" s="9" t="n"/>
      <c r="O11" s="9" t="n"/>
      <c r="P11" s="9">
        <f>IF(B11="","",J11-K11-M11-N11+O11)</f>
        <v/>
      </c>
    </row>
    <row r="12">
      <c r="A12" s="6">
        <f>IF(B12="","",ROW()-5)</f>
        <v/>
      </c>
      <c r="B12" s="7" t="n"/>
      <c r="C12" s="8" t="n"/>
      <c r="D12" s="8" t="n"/>
      <c r="E12" s="8">
        <f>IF(B12="","",C12+D12)</f>
        <v/>
      </c>
      <c r="F12" s="9" t="n"/>
      <c r="G12" s="9">
        <f>IFERROR(F12/30,0)</f>
        <v/>
      </c>
      <c r="H12" s="9">
        <f>IF(B12="","",E12*G12)</f>
        <v/>
      </c>
      <c r="I12" s="9" t="n"/>
      <c r="J12" s="9">
        <f>IF(B12="","",H12+I12)</f>
        <v/>
      </c>
      <c r="K12" s="9">
        <f>IF(B12="","",IFERROR(INDEX('Advance Sheet'!$L$6:$L$105,MATCH(B12,'Advance Sheet'!$B$6:$B$105,0)),0))</f>
        <v/>
      </c>
      <c r="L12" s="9" t="n"/>
      <c r="M12" s="9" t="n"/>
      <c r="N12" s="9" t="n"/>
      <c r="O12" s="9" t="n"/>
      <c r="P12" s="9">
        <f>IF(B12="","",J12-K12-M12-N12+O12)</f>
        <v/>
      </c>
    </row>
    <row r="13">
      <c r="A13" s="6">
        <f>IF(B13="","",ROW()-5)</f>
        <v/>
      </c>
      <c r="B13" s="7" t="n"/>
      <c r="C13" s="8" t="n"/>
      <c r="D13" s="8" t="n"/>
      <c r="E13" s="8">
        <f>IF(B13="","",C13+D13)</f>
        <v/>
      </c>
      <c r="F13" s="9" t="n"/>
      <c r="G13" s="9">
        <f>IFERROR(F13/30,0)</f>
        <v/>
      </c>
      <c r="H13" s="9">
        <f>IF(B13="","",E13*G13)</f>
        <v/>
      </c>
      <c r="I13" s="9" t="n"/>
      <c r="J13" s="9">
        <f>IF(B13="","",H13+I13)</f>
        <v/>
      </c>
      <c r="K13" s="9">
        <f>IF(B13="","",IFERROR(INDEX('Advance Sheet'!$L$6:$L$105,MATCH(B13,'Advance Sheet'!$B$6:$B$105,0)),0))</f>
        <v/>
      </c>
      <c r="L13" s="9" t="n"/>
      <c r="M13" s="9" t="n"/>
      <c r="N13" s="9" t="n"/>
      <c r="O13" s="9" t="n"/>
      <c r="P13" s="9">
        <f>IF(B13="","",J13-K13-M13-N13+O13)</f>
        <v/>
      </c>
    </row>
    <row r="14">
      <c r="A14" s="6">
        <f>IF(B14="","",ROW()-5)</f>
        <v/>
      </c>
      <c r="B14" s="7" t="n"/>
      <c r="C14" s="8" t="n"/>
      <c r="D14" s="8" t="n"/>
      <c r="E14" s="8">
        <f>IF(B14="","",C14+D14)</f>
        <v/>
      </c>
      <c r="F14" s="9" t="n"/>
      <c r="G14" s="9">
        <f>IFERROR(F14/30,0)</f>
        <v/>
      </c>
      <c r="H14" s="9">
        <f>IF(B14="","",E14*G14)</f>
        <v/>
      </c>
      <c r="I14" s="9" t="n"/>
      <c r="J14" s="9">
        <f>IF(B14="","",H14+I14)</f>
        <v/>
      </c>
      <c r="K14" s="9">
        <f>IF(B14="","",IFERROR(INDEX('Advance Sheet'!$L$6:$L$105,MATCH(B14,'Advance Sheet'!$B$6:$B$105,0)),0))</f>
        <v/>
      </c>
      <c r="L14" s="9" t="n"/>
      <c r="M14" s="9" t="n"/>
      <c r="N14" s="9" t="n"/>
      <c r="O14" s="9" t="n"/>
      <c r="P14" s="9">
        <f>IF(B14="","",J14-K14-M14-N14+O14)</f>
        <v/>
      </c>
    </row>
    <row r="15">
      <c r="A15" s="6">
        <f>IF(B15="","",ROW()-5)</f>
        <v/>
      </c>
      <c r="B15" s="7" t="n"/>
      <c r="C15" s="8" t="n"/>
      <c r="D15" s="8" t="n"/>
      <c r="E15" s="8">
        <f>IF(B15="","",C15+D15)</f>
        <v/>
      </c>
      <c r="F15" s="9" t="n"/>
      <c r="G15" s="9">
        <f>IFERROR(F15/30,0)</f>
        <v/>
      </c>
      <c r="H15" s="9">
        <f>IF(B15="","",E15*G15)</f>
        <v/>
      </c>
      <c r="I15" s="9" t="n"/>
      <c r="J15" s="9">
        <f>IF(B15="","",H15+I15)</f>
        <v/>
      </c>
      <c r="K15" s="9">
        <f>IF(B15="","",IFERROR(INDEX('Advance Sheet'!$L$6:$L$105,MATCH(B15,'Advance Sheet'!$B$6:$B$105,0)),0))</f>
        <v/>
      </c>
      <c r="L15" s="9" t="n"/>
      <c r="M15" s="9" t="n"/>
      <c r="N15" s="9" t="n"/>
      <c r="O15" s="9" t="n"/>
      <c r="P15" s="9">
        <f>IF(B15="","",J15-K15-M15-N15+O15)</f>
        <v/>
      </c>
    </row>
    <row r="16">
      <c r="A16" s="6">
        <f>IF(B16="","",ROW()-5)</f>
        <v/>
      </c>
      <c r="B16" s="7" t="n"/>
      <c r="C16" s="8" t="n"/>
      <c r="D16" s="8" t="n"/>
      <c r="E16" s="8">
        <f>IF(B16="","",C16+D16)</f>
        <v/>
      </c>
      <c r="F16" s="9" t="n"/>
      <c r="G16" s="9">
        <f>IFERROR(F16/30,0)</f>
        <v/>
      </c>
      <c r="H16" s="9">
        <f>IF(B16="","",E16*G16)</f>
        <v/>
      </c>
      <c r="I16" s="9" t="n"/>
      <c r="J16" s="9">
        <f>IF(B16="","",H16+I16)</f>
        <v/>
      </c>
      <c r="K16" s="9">
        <f>IF(B16="","",IFERROR(INDEX('Advance Sheet'!$L$6:$L$105,MATCH(B16,'Advance Sheet'!$B$6:$B$105,0)),0))</f>
        <v/>
      </c>
      <c r="L16" s="9" t="n"/>
      <c r="M16" s="9" t="n"/>
      <c r="N16" s="9" t="n"/>
      <c r="O16" s="9" t="n"/>
      <c r="P16" s="9">
        <f>IF(B16="","",J16-K16-M16-N16+O16)</f>
        <v/>
      </c>
    </row>
    <row r="17">
      <c r="A17" s="6">
        <f>IF(B17="","",ROW()-5)</f>
        <v/>
      </c>
      <c r="B17" s="7" t="n"/>
      <c r="C17" s="8" t="n"/>
      <c r="D17" s="8" t="n"/>
      <c r="E17" s="8">
        <f>IF(B17="","",C17+D17)</f>
        <v/>
      </c>
      <c r="F17" s="9" t="n"/>
      <c r="G17" s="9">
        <f>IFERROR(F17/30,0)</f>
        <v/>
      </c>
      <c r="H17" s="9">
        <f>IF(B17="","",E17*G17)</f>
        <v/>
      </c>
      <c r="I17" s="9" t="n"/>
      <c r="J17" s="9">
        <f>IF(B17="","",H17+I17)</f>
        <v/>
      </c>
      <c r="K17" s="9">
        <f>IF(B17="","",IFERROR(INDEX('Advance Sheet'!$L$6:$L$105,MATCH(B17,'Advance Sheet'!$B$6:$B$105,0)),0))</f>
        <v/>
      </c>
      <c r="L17" s="9" t="n"/>
      <c r="M17" s="9" t="n"/>
      <c r="N17" s="9" t="n"/>
      <c r="O17" s="9" t="n"/>
      <c r="P17" s="9">
        <f>IF(B17="","",J17-K17-M17-N17+O17)</f>
        <v/>
      </c>
    </row>
    <row r="18">
      <c r="A18" s="6">
        <f>IF(B18="","",ROW()-5)</f>
        <v/>
      </c>
      <c r="B18" s="7" t="n"/>
      <c r="C18" s="8" t="n"/>
      <c r="D18" s="8" t="n"/>
      <c r="E18" s="8">
        <f>IF(B18="","",C18+D18)</f>
        <v/>
      </c>
      <c r="F18" s="9" t="n"/>
      <c r="G18" s="9">
        <f>IFERROR(F18/30,0)</f>
        <v/>
      </c>
      <c r="H18" s="9">
        <f>IF(B18="","",E18*G18)</f>
        <v/>
      </c>
      <c r="I18" s="9" t="n"/>
      <c r="J18" s="9">
        <f>IF(B18="","",H18+I18)</f>
        <v/>
      </c>
      <c r="K18" s="9">
        <f>IF(B18="","",IFERROR(INDEX('Advance Sheet'!$L$6:$L$105,MATCH(B18,'Advance Sheet'!$B$6:$B$105,0)),0))</f>
        <v/>
      </c>
      <c r="L18" s="9" t="n"/>
      <c r="M18" s="9" t="n"/>
      <c r="N18" s="9" t="n"/>
      <c r="O18" s="9" t="n"/>
      <c r="P18" s="9">
        <f>IF(B18="","",J18-K18-M18-N18+O18)</f>
        <v/>
      </c>
    </row>
    <row r="19">
      <c r="A19" s="6">
        <f>IF(B19="","",ROW()-5)</f>
        <v/>
      </c>
      <c r="B19" s="7" t="n"/>
      <c r="C19" s="8" t="n"/>
      <c r="D19" s="8" t="n"/>
      <c r="E19" s="8">
        <f>IF(B19="","",C19+D19)</f>
        <v/>
      </c>
      <c r="F19" s="9" t="n"/>
      <c r="G19" s="9">
        <f>IFERROR(F19/30,0)</f>
        <v/>
      </c>
      <c r="H19" s="9">
        <f>IF(B19="","",E19*G19)</f>
        <v/>
      </c>
      <c r="I19" s="9" t="n"/>
      <c r="J19" s="9">
        <f>IF(B19="","",H19+I19)</f>
        <v/>
      </c>
      <c r="K19" s="9">
        <f>IF(B19="","",IFERROR(INDEX('Advance Sheet'!$L$6:$L$105,MATCH(B19,'Advance Sheet'!$B$6:$B$105,0)),0))</f>
        <v/>
      </c>
      <c r="L19" s="9" t="n"/>
      <c r="M19" s="9" t="n"/>
      <c r="N19" s="9" t="n"/>
      <c r="O19" s="9" t="n"/>
      <c r="P19" s="9">
        <f>IF(B19="","",J19-K19-M19-N19+O19)</f>
        <v/>
      </c>
    </row>
    <row r="20">
      <c r="A20" s="6">
        <f>IF(B20="","",ROW()-5)</f>
        <v/>
      </c>
      <c r="B20" s="7" t="n"/>
      <c r="C20" s="8" t="n"/>
      <c r="D20" s="8" t="n"/>
      <c r="E20" s="8">
        <f>IF(B20="","",C20+D20)</f>
        <v/>
      </c>
      <c r="F20" s="9" t="n"/>
      <c r="G20" s="9">
        <f>IFERROR(F20/30,0)</f>
        <v/>
      </c>
      <c r="H20" s="9">
        <f>IF(B20="","",E20*G20)</f>
        <v/>
      </c>
      <c r="I20" s="9" t="n"/>
      <c r="J20" s="9">
        <f>IF(B20="","",H20+I20)</f>
        <v/>
      </c>
      <c r="K20" s="9">
        <f>IF(B20="","",IFERROR(INDEX('Advance Sheet'!$L$6:$L$105,MATCH(B20,'Advance Sheet'!$B$6:$B$105,0)),0))</f>
        <v/>
      </c>
      <c r="L20" s="9" t="n"/>
      <c r="M20" s="9" t="n"/>
      <c r="N20" s="9" t="n"/>
      <c r="O20" s="9" t="n"/>
      <c r="P20" s="9">
        <f>IF(B20="","",J20-K20-M20-N20+O20)</f>
        <v/>
      </c>
    </row>
    <row r="21">
      <c r="A21" s="6">
        <f>IF(B21="","",ROW()-5)</f>
        <v/>
      </c>
      <c r="B21" s="7" t="n"/>
      <c r="C21" s="8" t="n"/>
      <c r="D21" s="8" t="n"/>
      <c r="E21" s="8">
        <f>IF(B21="","",C21+D21)</f>
        <v/>
      </c>
      <c r="F21" s="9" t="n"/>
      <c r="G21" s="9">
        <f>IFERROR(F21/30,0)</f>
        <v/>
      </c>
      <c r="H21" s="9">
        <f>IF(B21="","",E21*G21)</f>
        <v/>
      </c>
      <c r="I21" s="9" t="n"/>
      <c r="J21" s="9">
        <f>IF(B21="","",H21+I21)</f>
        <v/>
      </c>
      <c r="K21" s="9">
        <f>IF(B21="","",IFERROR(INDEX('Advance Sheet'!$L$6:$L$105,MATCH(B21,'Advance Sheet'!$B$6:$B$105,0)),0))</f>
        <v/>
      </c>
      <c r="L21" s="9" t="n"/>
      <c r="M21" s="9" t="n"/>
      <c r="N21" s="9" t="n"/>
      <c r="O21" s="9" t="n"/>
      <c r="P21" s="9">
        <f>IF(B21="","",J21-K21-M21-N21+O21)</f>
        <v/>
      </c>
    </row>
    <row r="22">
      <c r="A22" s="6">
        <f>IF(B22="","",ROW()-5)</f>
        <v/>
      </c>
      <c r="B22" s="7" t="n"/>
      <c r="C22" s="8" t="n"/>
      <c r="D22" s="8" t="n"/>
      <c r="E22" s="8">
        <f>IF(B22="","",C22+D22)</f>
        <v/>
      </c>
      <c r="F22" s="9" t="n"/>
      <c r="G22" s="9">
        <f>IFERROR(F22/30,0)</f>
        <v/>
      </c>
      <c r="H22" s="9">
        <f>IF(B22="","",E22*G22)</f>
        <v/>
      </c>
      <c r="I22" s="9" t="n"/>
      <c r="J22" s="9">
        <f>IF(B22="","",H22+I22)</f>
        <v/>
      </c>
      <c r="K22" s="9">
        <f>IF(B22="","",IFERROR(INDEX('Advance Sheet'!$L$6:$L$105,MATCH(B22,'Advance Sheet'!$B$6:$B$105,0)),0))</f>
        <v/>
      </c>
      <c r="L22" s="9" t="n"/>
      <c r="M22" s="9" t="n"/>
      <c r="N22" s="9" t="n"/>
      <c r="O22" s="9" t="n"/>
      <c r="P22" s="9">
        <f>IF(B22="","",J22-K22-M22-N22+O22)</f>
        <v/>
      </c>
    </row>
    <row r="23">
      <c r="A23" s="6">
        <f>IF(B23="","",ROW()-5)</f>
        <v/>
      </c>
      <c r="B23" s="7" t="n"/>
      <c r="C23" s="8" t="n"/>
      <c r="D23" s="8" t="n"/>
      <c r="E23" s="8">
        <f>IF(B23="","",C23+D23)</f>
        <v/>
      </c>
      <c r="F23" s="9" t="n"/>
      <c r="G23" s="9">
        <f>IFERROR(F23/30,0)</f>
        <v/>
      </c>
      <c r="H23" s="9">
        <f>IF(B23="","",E23*G23)</f>
        <v/>
      </c>
      <c r="I23" s="9" t="n"/>
      <c r="J23" s="9">
        <f>IF(B23="","",H23+I23)</f>
        <v/>
      </c>
      <c r="K23" s="9">
        <f>IF(B23="","",IFERROR(INDEX('Advance Sheet'!$L$6:$L$105,MATCH(B23,'Advance Sheet'!$B$6:$B$105,0)),0))</f>
        <v/>
      </c>
      <c r="L23" s="9" t="n"/>
      <c r="M23" s="9" t="n"/>
      <c r="N23" s="9" t="n"/>
      <c r="O23" s="9" t="n"/>
      <c r="P23" s="9">
        <f>IF(B23="","",J23-K23-M23-N23+O23)</f>
        <v/>
      </c>
    </row>
    <row r="24">
      <c r="A24" s="6">
        <f>IF(B24="","",ROW()-5)</f>
        <v/>
      </c>
      <c r="B24" s="7" t="n"/>
      <c r="C24" s="8" t="n"/>
      <c r="D24" s="8" t="n"/>
      <c r="E24" s="8">
        <f>IF(B24="","",C24+D24)</f>
        <v/>
      </c>
      <c r="F24" s="9" t="n"/>
      <c r="G24" s="9">
        <f>IFERROR(F24/30,0)</f>
        <v/>
      </c>
      <c r="H24" s="9">
        <f>IF(B24="","",E24*G24)</f>
        <v/>
      </c>
      <c r="I24" s="9" t="n"/>
      <c r="J24" s="9">
        <f>IF(B24="","",H24+I24)</f>
        <v/>
      </c>
      <c r="K24" s="9">
        <f>IF(B24="","",IFERROR(INDEX('Advance Sheet'!$L$6:$L$105,MATCH(B24,'Advance Sheet'!$B$6:$B$105,0)),0))</f>
        <v/>
      </c>
      <c r="L24" s="9" t="n"/>
      <c r="M24" s="9" t="n"/>
      <c r="N24" s="9" t="n"/>
      <c r="O24" s="9" t="n"/>
      <c r="P24" s="9">
        <f>IF(B24="","",J24-K24-M24-N24+O24)</f>
        <v/>
      </c>
    </row>
    <row r="25">
      <c r="A25" s="6">
        <f>IF(B25="","",ROW()-5)</f>
        <v/>
      </c>
      <c r="B25" s="7" t="n"/>
      <c r="C25" s="8" t="n"/>
      <c r="D25" s="8" t="n"/>
      <c r="E25" s="8">
        <f>IF(B25="","",C25+D25)</f>
        <v/>
      </c>
      <c r="F25" s="9" t="n"/>
      <c r="G25" s="9">
        <f>IFERROR(F25/30,0)</f>
        <v/>
      </c>
      <c r="H25" s="9">
        <f>IF(B25="","",E25*G25)</f>
        <v/>
      </c>
      <c r="I25" s="9" t="n"/>
      <c r="J25" s="9">
        <f>IF(B25="","",H25+I25)</f>
        <v/>
      </c>
      <c r="K25" s="9">
        <f>IF(B25="","",IFERROR(INDEX('Advance Sheet'!$L$6:$L$105,MATCH(B25,'Advance Sheet'!$B$6:$B$105,0)),0))</f>
        <v/>
      </c>
      <c r="L25" s="9" t="n"/>
      <c r="M25" s="9" t="n"/>
      <c r="N25" s="9" t="n"/>
      <c r="O25" s="9" t="n"/>
      <c r="P25" s="9">
        <f>IF(B25="","",J25-K25-M25-N25+O25)</f>
        <v/>
      </c>
    </row>
    <row r="26">
      <c r="A26" s="6">
        <f>IF(B26="","",ROW()-5)</f>
        <v/>
      </c>
      <c r="B26" s="7" t="n"/>
      <c r="C26" s="8" t="n"/>
      <c r="D26" s="8" t="n"/>
      <c r="E26" s="8">
        <f>IF(B26="","",C26+D26)</f>
        <v/>
      </c>
      <c r="F26" s="9" t="n"/>
      <c r="G26" s="9">
        <f>IFERROR(F26/30,0)</f>
        <v/>
      </c>
      <c r="H26" s="9">
        <f>IF(B26="","",E26*G26)</f>
        <v/>
      </c>
      <c r="I26" s="9" t="n"/>
      <c r="J26" s="9">
        <f>IF(B26="","",H26+I26)</f>
        <v/>
      </c>
      <c r="K26" s="9">
        <f>IF(B26="","",IFERROR(INDEX('Advance Sheet'!$L$6:$L$105,MATCH(B26,'Advance Sheet'!$B$6:$B$105,0)),0))</f>
        <v/>
      </c>
      <c r="L26" s="9" t="n"/>
      <c r="M26" s="9" t="n"/>
      <c r="N26" s="9" t="n"/>
      <c r="O26" s="9" t="n"/>
      <c r="P26" s="9">
        <f>IF(B26="","",J26-K26-M26-N26+O26)</f>
        <v/>
      </c>
    </row>
    <row r="27">
      <c r="A27" s="6">
        <f>IF(B27="","",ROW()-5)</f>
        <v/>
      </c>
      <c r="B27" s="7" t="n"/>
      <c r="C27" s="8" t="n"/>
      <c r="D27" s="8" t="n"/>
      <c r="E27" s="8">
        <f>IF(B27="","",C27+D27)</f>
        <v/>
      </c>
      <c r="F27" s="9" t="n"/>
      <c r="G27" s="9">
        <f>IFERROR(F27/30,0)</f>
        <v/>
      </c>
      <c r="H27" s="9">
        <f>IF(B27="","",E27*G27)</f>
        <v/>
      </c>
      <c r="I27" s="9" t="n"/>
      <c r="J27" s="9">
        <f>IF(B27="","",H27+I27)</f>
        <v/>
      </c>
      <c r="K27" s="9">
        <f>IF(B27="","",IFERROR(INDEX('Advance Sheet'!$L$6:$L$105,MATCH(B27,'Advance Sheet'!$B$6:$B$105,0)),0))</f>
        <v/>
      </c>
      <c r="L27" s="9" t="n"/>
      <c r="M27" s="9" t="n"/>
      <c r="N27" s="9" t="n"/>
      <c r="O27" s="9" t="n"/>
      <c r="P27" s="9">
        <f>IF(B27="","",J27-K27-M27-N27+O27)</f>
        <v/>
      </c>
    </row>
    <row r="28">
      <c r="A28" s="6">
        <f>IF(B28="","",ROW()-5)</f>
        <v/>
      </c>
      <c r="B28" s="7" t="n"/>
      <c r="C28" s="8" t="n"/>
      <c r="D28" s="8" t="n"/>
      <c r="E28" s="8">
        <f>IF(B28="","",C28+D28)</f>
        <v/>
      </c>
      <c r="F28" s="9" t="n"/>
      <c r="G28" s="9">
        <f>IFERROR(F28/30,0)</f>
        <v/>
      </c>
      <c r="H28" s="9">
        <f>IF(B28="","",E28*G28)</f>
        <v/>
      </c>
      <c r="I28" s="9" t="n"/>
      <c r="J28" s="9">
        <f>IF(B28="","",H28+I28)</f>
        <v/>
      </c>
      <c r="K28" s="9">
        <f>IF(B28="","",IFERROR(INDEX('Advance Sheet'!$L$6:$L$105,MATCH(B28,'Advance Sheet'!$B$6:$B$105,0)),0))</f>
        <v/>
      </c>
      <c r="L28" s="9" t="n"/>
      <c r="M28" s="9" t="n"/>
      <c r="N28" s="9" t="n"/>
      <c r="O28" s="9" t="n"/>
      <c r="P28" s="9">
        <f>IF(B28="","",J28-K28-M28-N28+O28)</f>
        <v/>
      </c>
    </row>
    <row r="29">
      <c r="A29" s="6">
        <f>IF(B29="","",ROW()-5)</f>
        <v/>
      </c>
      <c r="B29" s="7" t="n"/>
      <c r="C29" s="8" t="n"/>
      <c r="D29" s="8" t="n"/>
      <c r="E29" s="8">
        <f>IF(B29="","",C29+D29)</f>
        <v/>
      </c>
      <c r="F29" s="9" t="n"/>
      <c r="G29" s="9">
        <f>IFERROR(F29/30,0)</f>
        <v/>
      </c>
      <c r="H29" s="9">
        <f>IF(B29="","",E29*G29)</f>
        <v/>
      </c>
      <c r="I29" s="9" t="n"/>
      <c r="J29" s="9">
        <f>IF(B29="","",H29+I29)</f>
        <v/>
      </c>
      <c r="K29" s="9">
        <f>IF(B29="","",IFERROR(INDEX('Advance Sheet'!$L$6:$L$105,MATCH(B29,'Advance Sheet'!$B$6:$B$105,0)),0))</f>
        <v/>
      </c>
      <c r="L29" s="9" t="n"/>
      <c r="M29" s="9" t="n"/>
      <c r="N29" s="9" t="n"/>
      <c r="O29" s="9" t="n"/>
      <c r="P29" s="9">
        <f>IF(B29="","",J29-K29-M29-N29+O29)</f>
        <v/>
      </c>
    </row>
    <row r="30">
      <c r="A30" s="6">
        <f>IF(B30="","",ROW()-5)</f>
        <v/>
      </c>
      <c r="B30" s="7" t="n"/>
      <c r="C30" s="8" t="n"/>
      <c r="D30" s="8" t="n"/>
      <c r="E30" s="8">
        <f>IF(B30="","",C30+D30)</f>
        <v/>
      </c>
      <c r="F30" s="9" t="n"/>
      <c r="G30" s="9">
        <f>IFERROR(F30/30,0)</f>
        <v/>
      </c>
      <c r="H30" s="9">
        <f>IF(B30="","",E30*G30)</f>
        <v/>
      </c>
      <c r="I30" s="9" t="n"/>
      <c r="J30" s="9">
        <f>IF(B30="","",H30+I30)</f>
        <v/>
      </c>
      <c r="K30" s="9">
        <f>IF(B30="","",IFERROR(INDEX('Advance Sheet'!$L$6:$L$105,MATCH(B30,'Advance Sheet'!$B$6:$B$105,0)),0))</f>
        <v/>
      </c>
      <c r="L30" s="9" t="n"/>
      <c r="M30" s="9" t="n"/>
      <c r="N30" s="9" t="n"/>
      <c r="O30" s="9" t="n"/>
      <c r="P30" s="9">
        <f>IF(B30="","",J30-K30-M30-N30+O30)</f>
        <v/>
      </c>
    </row>
    <row r="31">
      <c r="A31" s="6">
        <f>IF(B31="","",ROW()-5)</f>
        <v/>
      </c>
      <c r="B31" s="7" t="n"/>
      <c r="C31" s="8" t="n"/>
      <c r="D31" s="8" t="n"/>
      <c r="E31" s="8">
        <f>IF(B31="","",C31+D31)</f>
        <v/>
      </c>
      <c r="F31" s="9" t="n"/>
      <c r="G31" s="9">
        <f>IFERROR(F31/30,0)</f>
        <v/>
      </c>
      <c r="H31" s="9">
        <f>IF(B31="","",E31*G31)</f>
        <v/>
      </c>
      <c r="I31" s="9" t="n"/>
      <c r="J31" s="9">
        <f>IF(B31="","",H31+I31)</f>
        <v/>
      </c>
      <c r="K31" s="9">
        <f>IF(B31="","",IFERROR(INDEX('Advance Sheet'!$L$6:$L$105,MATCH(B31,'Advance Sheet'!$B$6:$B$105,0)),0))</f>
        <v/>
      </c>
      <c r="L31" s="9" t="n"/>
      <c r="M31" s="9" t="n"/>
      <c r="N31" s="9" t="n"/>
      <c r="O31" s="9" t="n"/>
      <c r="P31" s="9">
        <f>IF(B31="","",J31-K31-M31-N31+O31)</f>
        <v/>
      </c>
    </row>
    <row r="32">
      <c r="A32" s="6">
        <f>IF(B32="","",ROW()-5)</f>
        <v/>
      </c>
      <c r="B32" s="7" t="n"/>
      <c r="C32" s="8" t="n"/>
      <c r="D32" s="8" t="n"/>
      <c r="E32" s="8">
        <f>IF(B32="","",C32+D32)</f>
        <v/>
      </c>
      <c r="F32" s="9" t="n"/>
      <c r="G32" s="9">
        <f>IFERROR(F32/30,0)</f>
        <v/>
      </c>
      <c r="H32" s="9">
        <f>IF(B32="","",E32*G32)</f>
        <v/>
      </c>
      <c r="I32" s="9" t="n"/>
      <c r="J32" s="9">
        <f>IF(B32="","",H32+I32)</f>
        <v/>
      </c>
      <c r="K32" s="9">
        <f>IF(B32="","",IFERROR(INDEX('Advance Sheet'!$L$6:$L$105,MATCH(B32,'Advance Sheet'!$B$6:$B$105,0)),0))</f>
        <v/>
      </c>
      <c r="L32" s="9" t="n"/>
      <c r="M32" s="9" t="n"/>
      <c r="N32" s="9" t="n"/>
      <c r="O32" s="9" t="n"/>
      <c r="P32" s="9">
        <f>IF(B32="","",J32-K32-M32-N32+O32)</f>
        <v/>
      </c>
    </row>
    <row r="33">
      <c r="A33" s="6">
        <f>IF(B33="","",ROW()-5)</f>
        <v/>
      </c>
      <c r="B33" s="7" t="n"/>
      <c r="C33" s="8" t="n"/>
      <c r="D33" s="8" t="n"/>
      <c r="E33" s="8">
        <f>IF(B33="","",C33+D33)</f>
        <v/>
      </c>
      <c r="F33" s="9" t="n"/>
      <c r="G33" s="9">
        <f>IFERROR(F33/30,0)</f>
        <v/>
      </c>
      <c r="H33" s="9">
        <f>IF(B33="","",E33*G33)</f>
        <v/>
      </c>
      <c r="I33" s="9" t="n"/>
      <c r="J33" s="9">
        <f>IF(B33="","",H33+I33)</f>
        <v/>
      </c>
      <c r="K33" s="9">
        <f>IF(B33="","",IFERROR(INDEX('Advance Sheet'!$L$6:$L$105,MATCH(B33,'Advance Sheet'!$B$6:$B$105,0)),0))</f>
        <v/>
      </c>
      <c r="L33" s="9" t="n"/>
      <c r="M33" s="9" t="n"/>
      <c r="N33" s="9" t="n"/>
      <c r="O33" s="9" t="n"/>
      <c r="P33" s="9">
        <f>IF(B33="","",J33-K33-M33-N33+O33)</f>
        <v/>
      </c>
    </row>
    <row r="34">
      <c r="A34" s="6">
        <f>IF(B34="","",ROW()-5)</f>
        <v/>
      </c>
      <c r="B34" s="7" t="n"/>
      <c r="C34" s="8" t="n"/>
      <c r="D34" s="8" t="n"/>
      <c r="E34" s="8">
        <f>IF(B34="","",C34+D34)</f>
        <v/>
      </c>
      <c r="F34" s="9" t="n"/>
      <c r="G34" s="9">
        <f>IFERROR(F34/30,0)</f>
        <v/>
      </c>
      <c r="H34" s="9">
        <f>IF(B34="","",E34*G34)</f>
        <v/>
      </c>
      <c r="I34" s="9" t="n"/>
      <c r="J34" s="9">
        <f>IF(B34="","",H34+I34)</f>
        <v/>
      </c>
      <c r="K34" s="9">
        <f>IF(B34="","",IFERROR(INDEX('Advance Sheet'!$L$6:$L$105,MATCH(B34,'Advance Sheet'!$B$6:$B$105,0)),0))</f>
        <v/>
      </c>
      <c r="L34" s="9" t="n"/>
      <c r="M34" s="9" t="n"/>
      <c r="N34" s="9" t="n"/>
      <c r="O34" s="9" t="n"/>
      <c r="P34" s="9">
        <f>IF(B34="","",J34-K34-M34-N34+O34)</f>
        <v/>
      </c>
    </row>
    <row r="35">
      <c r="A35" s="6">
        <f>IF(B35="","",ROW()-5)</f>
        <v/>
      </c>
      <c r="B35" s="7" t="n"/>
      <c r="C35" s="8" t="n"/>
      <c r="D35" s="8" t="n"/>
      <c r="E35" s="8">
        <f>IF(B35="","",C35+D35)</f>
        <v/>
      </c>
      <c r="F35" s="9" t="n"/>
      <c r="G35" s="9">
        <f>IFERROR(F35/30,0)</f>
        <v/>
      </c>
      <c r="H35" s="9">
        <f>IF(B35="","",E35*G35)</f>
        <v/>
      </c>
      <c r="I35" s="9" t="n"/>
      <c r="J35" s="9">
        <f>IF(B35="","",H35+I35)</f>
        <v/>
      </c>
      <c r="K35" s="9">
        <f>IF(B35="","",IFERROR(INDEX('Advance Sheet'!$L$6:$L$105,MATCH(B35,'Advance Sheet'!$B$6:$B$105,0)),0))</f>
        <v/>
      </c>
      <c r="L35" s="9" t="n"/>
      <c r="M35" s="9" t="n"/>
      <c r="N35" s="9" t="n"/>
      <c r="O35" s="9" t="n"/>
      <c r="P35" s="9">
        <f>IF(B35="","",J35-K35-M35-N35+O35)</f>
        <v/>
      </c>
    </row>
    <row r="36">
      <c r="A36" s="6">
        <f>IF(B36="","",ROW()-5)</f>
        <v/>
      </c>
      <c r="B36" s="7" t="n"/>
      <c r="C36" s="8" t="n"/>
      <c r="D36" s="8" t="n"/>
      <c r="E36" s="8">
        <f>IF(B36="","",C36+D36)</f>
        <v/>
      </c>
      <c r="F36" s="9" t="n"/>
      <c r="G36" s="9">
        <f>IFERROR(F36/30,0)</f>
        <v/>
      </c>
      <c r="H36" s="9">
        <f>IF(B36="","",E36*G36)</f>
        <v/>
      </c>
      <c r="I36" s="9" t="n"/>
      <c r="J36" s="9">
        <f>IF(B36="","",H36+I36)</f>
        <v/>
      </c>
      <c r="K36" s="9">
        <f>IF(B36="","",IFERROR(INDEX('Advance Sheet'!$L$6:$L$105,MATCH(B36,'Advance Sheet'!$B$6:$B$105,0)),0))</f>
        <v/>
      </c>
      <c r="L36" s="9" t="n"/>
      <c r="M36" s="9" t="n"/>
      <c r="N36" s="9" t="n"/>
      <c r="O36" s="9" t="n"/>
      <c r="P36" s="9">
        <f>IF(B36="","",J36-K36-M36-N36+O36)</f>
        <v/>
      </c>
    </row>
    <row r="37">
      <c r="A37" s="6">
        <f>IF(B37="","",ROW()-5)</f>
        <v/>
      </c>
      <c r="B37" s="7" t="n"/>
      <c r="C37" s="8" t="n"/>
      <c r="D37" s="8" t="n"/>
      <c r="E37" s="8">
        <f>IF(B37="","",C37+D37)</f>
        <v/>
      </c>
      <c r="F37" s="9" t="n"/>
      <c r="G37" s="9">
        <f>IFERROR(F37/30,0)</f>
        <v/>
      </c>
      <c r="H37" s="9">
        <f>IF(B37="","",E37*G37)</f>
        <v/>
      </c>
      <c r="I37" s="9" t="n"/>
      <c r="J37" s="9">
        <f>IF(B37="","",H37+I37)</f>
        <v/>
      </c>
      <c r="K37" s="9">
        <f>IF(B37="","",IFERROR(INDEX('Advance Sheet'!$L$6:$L$105,MATCH(B37,'Advance Sheet'!$B$6:$B$105,0)),0))</f>
        <v/>
      </c>
      <c r="L37" s="9" t="n"/>
      <c r="M37" s="9" t="n"/>
      <c r="N37" s="9" t="n"/>
      <c r="O37" s="9" t="n"/>
      <c r="P37" s="9">
        <f>IF(B37="","",J37-K37-M37-N37+O37)</f>
        <v/>
      </c>
    </row>
    <row r="38">
      <c r="A38" s="6">
        <f>IF(B38="","",ROW()-5)</f>
        <v/>
      </c>
      <c r="B38" s="7" t="n"/>
      <c r="C38" s="8" t="n"/>
      <c r="D38" s="8" t="n"/>
      <c r="E38" s="8">
        <f>IF(B38="","",C38+D38)</f>
        <v/>
      </c>
      <c r="F38" s="9" t="n"/>
      <c r="G38" s="9">
        <f>IFERROR(F38/30,0)</f>
        <v/>
      </c>
      <c r="H38" s="9">
        <f>IF(B38="","",E38*G38)</f>
        <v/>
      </c>
      <c r="I38" s="9" t="n"/>
      <c r="J38" s="9">
        <f>IF(B38="","",H38+I38)</f>
        <v/>
      </c>
      <c r="K38" s="9">
        <f>IF(B38="","",IFERROR(INDEX('Advance Sheet'!$L$6:$L$105,MATCH(B38,'Advance Sheet'!$B$6:$B$105,0)),0))</f>
        <v/>
      </c>
      <c r="L38" s="9" t="n"/>
      <c r="M38" s="9" t="n"/>
      <c r="N38" s="9" t="n"/>
      <c r="O38" s="9" t="n"/>
      <c r="P38" s="9">
        <f>IF(B38="","",J38-K38-M38-N38+O38)</f>
        <v/>
      </c>
    </row>
    <row r="39">
      <c r="A39" s="6">
        <f>IF(B39="","",ROW()-5)</f>
        <v/>
      </c>
      <c r="B39" s="7" t="n"/>
      <c r="C39" s="8" t="n"/>
      <c r="D39" s="8" t="n"/>
      <c r="E39" s="8">
        <f>IF(B39="","",C39+D39)</f>
        <v/>
      </c>
      <c r="F39" s="9" t="n"/>
      <c r="G39" s="9">
        <f>IFERROR(F39/30,0)</f>
        <v/>
      </c>
      <c r="H39" s="9">
        <f>IF(B39="","",E39*G39)</f>
        <v/>
      </c>
      <c r="I39" s="9" t="n"/>
      <c r="J39" s="9">
        <f>IF(B39="","",H39+I39)</f>
        <v/>
      </c>
      <c r="K39" s="9">
        <f>IF(B39="","",IFERROR(INDEX('Advance Sheet'!$L$6:$L$105,MATCH(B39,'Advance Sheet'!$B$6:$B$105,0)),0))</f>
        <v/>
      </c>
      <c r="L39" s="9" t="n"/>
      <c r="M39" s="9" t="n"/>
      <c r="N39" s="9" t="n"/>
      <c r="O39" s="9" t="n"/>
      <c r="P39" s="9">
        <f>IF(B39="","",J39-K39-M39-N39+O39)</f>
        <v/>
      </c>
    </row>
    <row r="40">
      <c r="A40" s="6">
        <f>IF(B40="","",ROW()-5)</f>
        <v/>
      </c>
      <c r="B40" s="7" t="n"/>
      <c r="C40" s="8" t="n"/>
      <c r="D40" s="8" t="n"/>
      <c r="E40" s="8">
        <f>IF(B40="","",C40+D40)</f>
        <v/>
      </c>
      <c r="F40" s="9" t="n"/>
      <c r="G40" s="9">
        <f>IFERROR(F40/30,0)</f>
        <v/>
      </c>
      <c r="H40" s="9">
        <f>IF(B40="","",E40*G40)</f>
        <v/>
      </c>
      <c r="I40" s="9" t="n"/>
      <c r="J40" s="9">
        <f>IF(B40="","",H40+I40)</f>
        <v/>
      </c>
      <c r="K40" s="9">
        <f>IF(B40="","",IFERROR(INDEX('Advance Sheet'!$L$6:$L$105,MATCH(B40,'Advance Sheet'!$B$6:$B$105,0)),0))</f>
        <v/>
      </c>
      <c r="L40" s="9" t="n"/>
      <c r="M40" s="9" t="n"/>
      <c r="N40" s="9" t="n"/>
      <c r="O40" s="9" t="n"/>
      <c r="P40" s="9">
        <f>IF(B40="","",J40-K40-M40-N40+O40)</f>
        <v/>
      </c>
    </row>
    <row r="41">
      <c r="A41" s="6">
        <f>IF(B41="","",ROW()-5)</f>
        <v/>
      </c>
      <c r="B41" s="7" t="n"/>
      <c r="C41" s="8" t="n"/>
      <c r="D41" s="8" t="n"/>
      <c r="E41" s="8">
        <f>IF(B41="","",C41+D41)</f>
        <v/>
      </c>
      <c r="F41" s="9" t="n"/>
      <c r="G41" s="9">
        <f>IFERROR(F41/30,0)</f>
        <v/>
      </c>
      <c r="H41" s="9">
        <f>IF(B41="","",E41*G41)</f>
        <v/>
      </c>
      <c r="I41" s="9" t="n"/>
      <c r="J41" s="9">
        <f>IF(B41="","",H41+I41)</f>
        <v/>
      </c>
      <c r="K41" s="9">
        <f>IF(B41="","",IFERROR(INDEX('Advance Sheet'!$L$6:$L$105,MATCH(B41,'Advance Sheet'!$B$6:$B$105,0)),0))</f>
        <v/>
      </c>
      <c r="L41" s="9" t="n"/>
      <c r="M41" s="9" t="n"/>
      <c r="N41" s="9" t="n"/>
      <c r="O41" s="9" t="n"/>
      <c r="P41" s="9">
        <f>IF(B41="","",J41-K41-M41-N41+O41)</f>
        <v/>
      </c>
    </row>
    <row r="42">
      <c r="A42" s="6">
        <f>IF(B42="","",ROW()-5)</f>
        <v/>
      </c>
      <c r="B42" s="7" t="n"/>
      <c r="C42" s="8" t="n"/>
      <c r="D42" s="8" t="n"/>
      <c r="E42" s="8">
        <f>IF(B42="","",C42+D42)</f>
        <v/>
      </c>
      <c r="F42" s="9" t="n"/>
      <c r="G42" s="9">
        <f>IFERROR(F42/30,0)</f>
        <v/>
      </c>
      <c r="H42" s="9">
        <f>IF(B42="","",E42*G42)</f>
        <v/>
      </c>
      <c r="I42" s="9" t="n"/>
      <c r="J42" s="9">
        <f>IF(B42="","",H42+I42)</f>
        <v/>
      </c>
      <c r="K42" s="9">
        <f>IF(B42="","",IFERROR(INDEX('Advance Sheet'!$L$6:$L$105,MATCH(B42,'Advance Sheet'!$B$6:$B$105,0)),0))</f>
        <v/>
      </c>
      <c r="L42" s="9" t="n"/>
      <c r="M42" s="9" t="n"/>
      <c r="N42" s="9" t="n"/>
      <c r="O42" s="9" t="n"/>
      <c r="P42" s="9">
        <f>IF(B42="","",J42-K42-M42-N42+O42)</f>
        <v/>
      </c>
    </row>
    <row r="43">
      <c r="A43" s="6">
        <f>IF(B43="","",ROW()-5)</f>
        <v/>
      </c>
      <c r="B43" s="7" t="n"/>
      <c r="C43" s="8" t="n"/>
      <c r="D43" s="8" t="n"/>
      <c r="E43" s="8">
        <f>IF(B43="","",C43+D43)</f>
        <v/>
      </c>
      <c r="F43" s="9" t="n"/>
      <c r="G43" s="9">
        <f>IFERROR(F43/30,0)</f>
        <v/>
      </c>
      <c r="H43" s="9">
        <f>IF(B43="","",E43*G43)</f>
        <v/>
      </c>
      <c r="I43" s="9" t="n"/>
      <c r="J43" s="9">
        <f>IF(B43="","",H43+I43)</f>
        <v/>
      </c>
      <c r="K43" s="9">
        <f>IF(B43="","",IFERROR(INDEX('Advance Sheet'!$L$6:$L$105,MATCH(B43,'Advance Sheet'!$B$6:$B$105,0)),0))</f>
        <v/>
      </c>
      <c r="L43" s="9" t="n"/>
      <c r="M43" s="9" t="n"/>
      <c r="N43" s="9" t="n"/>
      <c r="O43" s="9" t="n"/>
      <c r="P43" s="9">
        <f>IF(B43="","",J43-K43-M43-N43+O43)</f>
        <v/>
      </c>
    </row>
    <row r="44">
      <c r="A44" s="6">
        <f>IF(B44="","",ROW()-5)</f>
        <v/>
      </c>
      <c r="B44" s="7" t="n"/>
      <c r="C44" s="8" t="n"/>
      <c r="D44" s="8" t="n"/>
      <c r="E44" s="8">
        <f>IF(B44="","",C44+D44)</f>
        <v/>
      </c>
      <c r="F44" s="9" t="n"/>
      <c r="G44" s="9">
        <f>IFERROR(F44/30,0)</f>
        <v/>
      </c>
      <c r="H44" s="9">
        <f>IF(B44="","",E44*G44)</f>
        <v/>
      </c>
      <c r="I44" s="9" t="n"/>
      <c r="J44" s="9">
        <f>IF(B44="","",H44+I44)</f>
        <v/>
      </c>
      <c r="K44" s="9">
        <f>IF(B44="","",IFERROR(INDEX('Advance Sheet'!$L$6:$L$105,MATCH(B44,'Advance Sheet'!$B$6:$B$105,0)),0))</f>
        <v/>
      </c>
      <c r="L44" s="9" t="n"/>
      <c r="M44" s="9" t="n"/>
      <c r="N44" s="9" t="n"/>
      <c r="O44" s="9" t="n"/>
      <c r="P44" s="9">
        <f>IF(B44="","",J44-K44-M44-N44+O44)</f>
        <v/>
      </c>
    </row>
    <row r="45">
      <c r="A45" s="6">
        <f>IF(B45="","",ROW()-5)</f>
        <v/>
      </c>
      <c r="B45" s="7" t="n"/>
      <c r="C45" s="8" t="n"/>
      <c r="D45" s="8" t="n"/>
      <c r="E45" s="8">
        <f>IF(B45="","",C45+D45)</f>
        <v/>
      </c>
      <c r="F45" s="9" t="n"/>
      <c r="G45" s="9">
        <f>IFERROR(F45/30,0)</f>
        <v/>
      </c>
      <c r="H45" s="9">
        <f>IF(B45="","",E45*G45)</f>
        <v/>
      </c>
      <c r="I45" s="9" t="n"/>
      <c r="J45" s="9">
        <f>IF(B45="","",H45+I45)</f>
        <v/>
      </c>
      <c r="K45" s="9">
        <f>IF(B45="","",IFERROR(INDEX('Advance Sheet'!$L$6:$L$105,MATCH(B45,'Advance Sheet'!$B$6:$B$105,0)),0))</f>
        <v/>
      </c>
      <c r="L45" s="9" t="n"/>
      <c r="M45" s="9" t="n"/>
      <c r="N45" s="9" t="n"/>
      <c r="O45" s="9" t="n"/>
      <c r="P45" s="9">
        <f>IF(B45="","",J45-K45-M45-N45+O45)</f>
        <v/>
      </c>
    </row>
    <row r="46">
      <c r="A46" s="6">
        <f>IF(B46="","",ROW()-5)</f>
        <v/>
      </c>
      <c r="B46" s="7" t="n"/>
      <c r="C46" s="8" t="n"/>
      <c r="D46" s="8" t="n"/>
      <c r="E46" s="8">
        <f>IF(B46="","",C46+D46)</f>
        <v/>
      </c>
      <c r="F46" s="9" t="n"/>
      <c r="G46" s="9">
        <f>IFERROR(F46/30,0)</f>
        <v/>
      </c>
      <c r="H46" s="9">
        <f>IF(B46="","",E46*G46)</f>
        <v/>
      </c>
      <c r="I46" s="9" t="n"/>
      <c r="J46" s="9">
        <f>IF(B46="","",H46+I46)</f>
        <v/>
      </c>
      <c r="K46" s="9">
        <f>IF(B46="","",IFERROR(INDEX('Advance Sheet'!$L$6:$L$105,MATCH(B46,'Advance Sheet'!$B$6:$B$105,0)),0))</f>
        <v/>
      </c>
      <c r="L46" s="9" t="n"/>
      <c r="M46" s="9" t="n"/>
      <c r="N46" s="9" t="n"/>
      <c r="O46" s="9" t="n"/>
      <c r="P46" s="9">
        <f>IF(B46="","",J46-K46-M46-N46+O46)</f>
        <v/>
      </c>
    </row>
    <row r="47">
      <c r="A47" s="6">
        <f>IF(B47="","",ROW()-5)</f>
        <v/>
      </c>
      <c r="B47" s="7" t="n"/>
      <c r="C47" s="8" t="n"/>
      <c r="D47" s="8" t="n"/>
      <c r="E47" s="8">
        <f>IF(B47="","",C47+D47)</f>
        <v/>
      </c>
      <c r="F47" s="9" t="n"/>
      <c r="G47" s="9">
        <f>IFERROR(F47/30,0)</f>
        <v/>
      </c>
      <c r="H47" s="9">
        <f>IF(B47="","",E47*G47)</f>
        <v/>
      </c>
      <c r="I47" s="9" t="n"/>
      <c r="J47" s="9">
        <f>IF(B47="","",H47+I47)</f>
        <v/>
      </c>
      <c r="K47" s="9">
        <f>IF(B47="","",IFERROR(INDEX('Advance Sheet'!$L$6:$L$105,MATCH(B47,'Advance Sheet'!$B$6:$B$105,0)),0))</f>
        <v/>
      </c>
      <c r="L47" s="9" t="n"/>
      <c r="M47" s="9" t="n"/>
      <c r="N47" s="9" t="n"/>
      <c r="O47" s="9" t="n"/>
      <c r="P47" s="9">
        <f>IF(B47="","",J47-K47-M47-N47+O47)</f>
        <v/>
      </c>
    </row>
    <row r="48">
      <c r="A48" s="6">
        <f>IF(B48="","",ROW()-5)</f>
        <v/>
      </c>
      <c r="B48" s="7" t="n"/>
      <c r="C48" s="8" t="n"/>
      <c r="D48" s="8" t="n"/>
      <c r="E48" s="8">
        <f>IF(B48="","",C48+D48)</f>
        <v/>
      </c>
      <c r="F48" s="9" t="n"/>
      <c r="G48" s="9">
        <f>IFERROR(F48/30,0)</f>
        <v/>
      </c>
      <c r="H48" s="9">
        <f>IF(B48="","",E48*G48)</f>
        <v/>
      </c>
      <c r="I48" s="9" t="n"/>
      <c r="J48" s="9">
        <f>IF(B48="","",H48+I48)</f>
        <v/>
      </c>
      <c r="K48" s="9">
        <f>IF(B48="","",IFERROR(INDEX('Advance Sheet'!$L$6:$L$105,MATCH(B48,'Advance Sheet'!$B$6:$B$105,0)),0))</f>
        <v/>
      </c>
      <c r="L48" s="9" t="n"/>
      <c r="M48" s="9" t="n"/>
      <c r="N48" s="9" t="n"/>
      <c r="O48" s="9" t="n"/>
      <c r="P48" s="9">
        <f>IF(B48="","",J48-K48-M48-N48+O48)</f>
        <v/>
      </c>
    </row>
    <row r="49">
      <c r="A49" s="6">
        <f>IF(B49="","",ROW()-5)</f>
        <v/>
      </c>
      <c r="B49" s="7" t="n"/>
      <c r="C49" s="8" t="n"/>
      <c r="D49" s="8" t="n"/>
      <c r="E49" s="8">
        <f>IF(B49="","",C49+D49)</f>
        <v/>
      </c>
      <c r="F49" s="9" t="n"/>
      <c r="G49" s="9">
        <f>IFERROR(F49/30,0)</f>
        <v/>
      </c>
      <c r="H49" s="9">
        <f>IF(B49="","",E49*G49)</f>
        <v/>
      </c>
      <c r="I49" s="9" t="n"/>
      <c r="J49" s="9">
        <f>IF(B49="","",H49+I49)</f>
        <v/>
      </c>
      <c r="K49" s="9">
        <f>IF(B49="","",IFERROR(INDEX('Advance Sheet'!$L$6:$L$105,MATCH(B49,'Advance Sheet'!$B$6:$B$105,0)),0))</f>
        <v/>
      </c>
      <c r="L49" s="9" t="n"/>
      <c r="M49" s="9" t="n"/>
      <c r="N49" s="9" t="n"/>
      <c r="O49" s="9" t="n"/>
      <c r="P49" s="9">
        <f>IF(B49="","",J49-K49-M49-N49+O49)</f>
        <v/>
      </c>
    </row>
    <row r="50">
      <c r="A50" s="6">
        <f>IF(B50="","",ROW()-5)</f>
        <v/>
      </c>
      <c r="B50" s="7" t="n"/>
      <c r="C50" s="8" t="n"/>
      <c r="D50" s="8" t="n"/>
      <c r="E50" s="8">
        <f>IF(B50="","",C50+D50)</f>
        <v/>
      </c>
      <c r="F50" s="9" t="n"/>
      <c r="G50" s="9">
        <f>IFERROR(F50/30,0)</f>
        <v/>
      </c>
      <c r="H50" s="9">
        <f>IF(B50="","",E50*G50)</f>
        <v/>
      </c>
      <c r="I50" s="9" t="n"/>
      <c r="J50" s="9">
        <f>IF(B50="","",H50+I50)</f>
        <v/>
      </c>
      <c r="K50" s="9">
        <f>IF(B50="","",IFERROR(INDEX('Advance Sheet'!$L$6:$L$105,MATCH(B50,'Advance Sheet'!$B$6:$B$105,0)),0))</f>
        <v/>
      </c>
      <c r="L50" s="9" t="n"/>
      <c r="M50" s="9" t="n"/>
      <c r="N50" s="9" t="n"/>
      <c r="O50" s="9" t="n"/>
      <c r="P50" s="9">
        <f>IF(B50="","",J50-K50-M50-N50+O50)</f>
        <v/>
      </c>
    </row>
    <row r="51">
      <c r="A51" s="6">
        <f>IF(B51="","",ROW()-5)</f>
        <v/>
      </c>
      <c r="B51" s="7" t="n"/>
      <c r="C51" s="8" t="n"/>
      <c r="D51" s="8" t="n"/>
      <c r="E51" s="8">
        <f>IF(B51="","",C51+D51)</f>
        <v/>
      </c>
      <c r="F51" s="9" t="n"/>
      <c r="G51" s="9">
        <f>IFERROR(F51/30,0)</f>
        <v/>
      </c>
      <c r="H51" s="9">
        <f>IF(B51="","",E51*G51)</f>
        <v/>
      </c>
      <c r="I51" s="9" t="n"/>
      <c r="J51" s="9">
        <f>IF(B51="","",H51+I51)</f>
        <v/>
      </c>
      <c r="K51" s="9">
        <f>IF(B51="","",IFERROR(INDEX('Advance Sheet'!$L$6:$L$105,MATCH(B51,'Advance Sheet'!$B$6:$B$105,0)),0))</f>
        <v/>
      </c>
      <c r="L51" s="9" t="n"/>
      <c r="M51" s="9" t="n"/>
      <c r="N51" s="9" t="n"/>
      <c r="O51" s="9" t="n"/>
      <c r="P51" s="9">
        <f>IF(B51="","",J51-K51-M51-N51+O51)</f>
        <v/>
      </c>
    </row>
    <row r="52">
      <c r="A52" s="6">
        <f>IF(B52="","",ROW()-5)</f>
        <v/>
      </c>
      <c r="B52" s="7" t="n"/>
      <c r="C52" s="8" t="n"/>
      <c r="D52" s="8" t="n"/>
      <c r="E52" s="8">
        <f>IF(B52="","",C52+D52)</f>
        <v/>
      </c>
      <c r="F52" s="9" t="n"/>
      <c r="G52" s="9">
        <f>IFERROR(F52/30,0)</f>
        <v/>
      </c>
      <c r="H52" s="9">
        <f>IF(B52="","",E52*G52)</f>
        <v/>
      </c>
      <c r="I52" s="9" t="n"/>
      <c r="J52" s="9">
        <f>IF(B52="","",H52+I52)</f>
        <v/>
      </c>
      <c r="K52" s="9">
        <f>IF(B52="","",IFERROR(INDEX('Advance Sheet'!$L$6:$L$105,MATCH(B52,'Advance Sheet'!$B$6:$B$105,0)),0))</f>
        <v/>
      </c>
      <c r="L52" s="9" t="n"/>
      <c r="M52" s="9" t="n"/>
      <c r="N52" s="9" t="n"/>
      <c r="O52" s="9" t="n"/>
      <c r="P52" s="9">
        <f>IF(B52="","",J52-K52-M52-N52+O52)</f>
        <v/>
      </c>
    </row>
    <row r="53">
      <c r="A53" s="6">
        <f>IF(B53="","",ROW()-5)</f>
        <v/>
      </c>
      <c r="B53" s="7" t="n"/>
      <c r="C53" s="8" t="n"/>
      <c r="D53" s="8" t="n"/>
      <c r="E53" s="8">
        <f>IF(B53="","",C53+D53)</f>
        <v/>
      </c>
      <c r="F53" s="9" t="n"/>
      <c r="G53" s="9">
        <f>IFERROR(F53/30,0)</f>
        <v/>
      </c>
      <c r="H53" s="9">
        <f>IF(B53="","",E53*G53)</f>
        <v/>
      </c>
      <c r="I53" s="9" t="n"/>
      <c r="J53" s="9">
        <f>IF(B53="","",H53+I53)</f>
        <v/>
      </c>
      <c r="K53" s="9">
        <f>IF(B53="","",IFERROR(INDEX('Advance Sheet'!$L$6:$L$105,MATCH(B53,'Advance Sheet'!$B$6:$B$105,0)),0))</f>
        <v/>
      </c>
      <c r="L53" s="9" t="n"/>
      <c r="M53" s="9" t="n"/>
      <c r="N53" s="9" t="n"/>
      <c r="O53" s="9" t="n"/>
      <c r="P53" s="9">
        <f>IF(B53="","",J53-K53-M53-N53+O53)</f>
        <v/>
      </c>
    </row>
    <row r="54">
      <c r="A54" s="6">
        <f>IF(B54="","",ROW()-5)</f>
        <v/>
      </c>
      <c r="B54" s="7" t="n"/>
      <c r="C54" s="8" t="n"/>
      <c r="D54" s="8" t="n"/>
      <c r="E54" s="8">
        <f>IF(B54="","",C54+D54)</f>
        <v/>
      </c>
      <c r="F54" s="9" t="n"/>
      <c r="G54" s="9">
        <f>IFERROR(F54/30,0)</f>
        <v/>
      </c>
      <c r="H54" s="9">
        <f>IF(B54="","",E54*G54)</f>
        <v/>
      </c>
      <c r="I54" s="9" t="n"/>
      <c r="J54" s="9">
        <f>IF(B54="","",H54+I54)</f>
        <v/>
      </c>
      <c r="K54" s="9">
        <f>IF(B54="","",IFERROR(INDEX('Advance Sheet'!$L$6:$L$105,MATCH(B54,'Advance Sheet'!$B$6:$B$105,0)),0))</f>
        <v/>
      </c>
      <c r="L54" s="9" t="n"/>
      <c r="M54" s="9" t="n"/>
      <c r="N54" s="9" t="n"/>
      <c r="O54" s="9" t="n"/>
      <c r="P54" s="9">
        <f>IF(B54="","",J54-K54-M54-N54+O54)</f>
        <v/>
      </c>
    </row>
    <row r="55">
      <c r="A55" s="6">
        <f>IF(B55="","",ROW()-5)</f>
        <v/>
      </c>
      <c r="B55" s="7" t="n"/>
      <c r="C55" s="8" t="n"/>
      <c r="D55" s="8" t="n"/>
      <c r="E55" s="8">
        <f>IF(B55="","",C55+D55)</f>
        <v/>
      </c>
      <c r="F55" s="9" t="n"/>
      <c r="G55" s="9">
        <f>IFERROR(F55/30,0)</f>
        <v/>
      </c>
      <c r="H55" s="9">
        <f>IF(B55="","",E55*G55)</f>
        <v/>
      </c>
      <c r="I55" s="9" t="n"/>
      <c r="J55" s="9">
        <f>IF(B55="","",H55+I55)</f>
        <v/>
      </c>
      <c r="K55" s="9">
        <f>IF(B55="","",IFERROR(INDEX('Advance Sheet'!$L$6:$L$105,MATCH(B55,'Advance Sheet'!$B$6:$B$105,0)),0))</f>
        <v/>
      </c>
      <c r="L55" s="9" t="n"/>
      <c r="M55" s="9" t="n"/>
      <c r="N55" s="9" t="n"/>
      <c r="O55" s="9" t="n"/>
      <c r="P55" s="9">
        <f>IF(B55="","",J55-K55-M55-N55+O55)</f>
        <v/>
      </c>
    </row>
    <row r="56">
      <c r="A56" s="6">
        <f>IF(B56="","",ROW()-5)</f>
        <v/>
      </c>
      <c r="B56" s="7" t="n"/>
      <c r="C56" s="8" t="n"/>
      <c r="D56" s="8" t="n"/>
      <c r="E56" s="8">
        <f>IF(B56="","",C56+D56)</f>
        <v/>
      </c>
      <c r="F56" s="9" t="n"/>
      <c r="G56" s="9">
        <f>IFERROR(F56/30,0)</f>
        <v/>
      </c>
      <c r="H56" s="9">
        <f>IF(B56="","",E56*G56)</f>
        <v/>
      </c>
      <c r="I56" s="9" t="n"/>
      <c r="J56" s="9">
        <f>IF(B56="","",H56+I56)</f>
        <v/>
      </c>
      <c r="K56" s="9">
        <f>IF(B56="","",IFERROR(INDEX('Advance Sheet'!$L$6:$L$105,MATCH(B56,'Advance Sheet'!$B$6:$B$105,0)),0))</f>
        <v/>
      </c>
      <c r="L56" s="9" t="n"/>
      <c r="M56" s="9" t="n"/>
      <c r="N56" s="9" t="n"/>
      <c r="O56" s="9" t="n"/>
      <c r="P56" s="9">
        <f>IF(B56="","",J56-K56-M56-N56+O56)</f>
        <v/>
      </c>
    </row>
    <row r="57">
      <c r="A57" s="6">
        <f>IF(B57="","",ROW()-5)</f>
        <v/>
      </c>
      <c r="B57" s="7" t="n"/>
      <c r="C57" s="8" t="n"/>
      <c r="D57" s="8" t="n"/>
      <c r="E57" s="8">
        <f>IF(B57="","",C57+D57)</f>
        <v/>
      </c>
      <c r="F57" s="9" t="n"/>
      <c r="G57" s="9">
        <f>IFERROR(F57/30,0)</f>
        <v/>
      </c>
      <c r="H57" s="9">
        <f>IF(B57="","",E57*G57)</f>
        <v/>
      </c>
      <c r="I57" s="9" t="n"/>
      <c r="J57" s="9">
        <f>IF(B57="","",H57+I57)</f>
        <v/>
      </c>
      <c r="K57" s="9">
        <f>IF(B57="","",IFERROR(INDEX('Advance Sheet'!$L$6:$L$105,MATCH(B57,'Advance Sheet'!$B$6:$B$105,0)),0))</f>
        <v/>
      </c>
      <c r="L57" s="9" t="n"/>
      <c r="M57" s="9" t="n"/>
      <c r="N57" s="9" t="n"/>
      <c r="O57" s="9" t="n"/>
      <c r="P57" s="9">
        <f>IF(B57="","",J57-K57-M57-N57+O57)</f>
        <v/>
      </c>
    </row>
    <row r="58">
      <c r="A58" s="6">
        <f>IF(B58="","",ROW()-5)</f>
        <v/>
      </c>
      <c r="B58" s="7" t="n"/>
      <c r="C58" s="8" t="n"/>
      <c r="D58" s="8" t="n"/>
      <c r="E58" s="8">
        <f>IF(B58="","",C58+D58)</f>
        <v/>
      </c>
      <c r="F58" s="9" t="n"/>
      <c r="G58" s="9">
        <f>IFERROR(F58/30,0)</f>
        <v/>
      </c>
      <c r="H58" s="9">
        <f>IF(B58="","",E58*G58)</f>
        <v/>
      </c>
      <c r="I58" s="9" t="n"/>
      <c r="J58" s="9">
        <f>IF(B58="","",H58+I58)</f>
        <v/>
      </c>
      <c r="K58" s="9">
        <f>IF(B58="","",IFERROR(INDEX('Advance Sheet'!$L$6:$L$105,MATCH(B58,'Advance Sheet'!$B$6:$B$105,0)),0))</f>
        <v/>
      </c>
      <c r="L58" s="9" t="n"/>
      <c r="M58" s="9" t="n"/>
      <c r="N58" s="9" t="n"/>
      <c r="O58" s="9" t="n"/>
      <c r="P58" s="9">
        <f>IF(B58="","",J58-K58-M58-N58+O58)</f>
        <v/>
      </c>
    </row>
    <row r="59">
      <c r="A59" s="6">
        <f>IF(B59="","",ROW()-5)</f>
        <v/>
      </c>
      <c r="B59" s="7" t="n"/>
      <c r="C59" s="8" t="n"/>
      <c r="D59" s="8" t="n"/>
      <c r="E59" s="8">
        <f>IF(B59="","",C59+D59)</f>
        <v/>
      </c>
      <c r="F59" s="9" t="n"/>
      <c r="G59" s="9">
        <f>IFERROR(F59/30,0)</f>
        <v/>
      </c>
      <c r="H59" s="9">
        <f>IF(B59="","",E59*G59)</f>
        <v/>
      </c>
      <c r="I59" s="9" t="n"/>
      <c r="J59" s="9">
        <f>IF(B59="","",H59+I59)</f>
        <v/>
      </c>
      <c r="K59" s="9">
        <f>IF(B59="","",IFERROR(INDEX('Advance Sheet'!$L$6:$L$105,MATCH(B59,'Advance Sheet'!$B$6:$B$105,0)),0))</f>
        <v/>
      </c>
      <c r="L59" s="9" t="n"/>
      <c r="M59" s="9" t="n"/>
      <c r="N59" s="9" t="n"/>
      <c r="O59" s="9" t="n"/>
      <c r="P59" s="9">
        <f>IF(B59="","",J59-K59-M59-N59+O59)</f>
        <v/>
      </c>
    </row>
    <row r="60">
      <c r="A60" s="6">
        <f>IF(B60="","",ROW()-5)</f>
        <v/>
      </c>
      <c r="B60" s="7" t="n"/>
      <c r="C60" s="8" t="n"/>
      <c r="D60" s="8" t="n"/>
      <c r="E60" s="8">
        <f>IF(B60="","",C60+D60)</f>
        <v/>
      </c>
      <c r="F60" s="9" t="n"/>
      <c r="G60" s="9">
        <f>IFERROR(F60/30,0)</f>
        <v/>
      </c>
      <c r="H60" s="9">
        <f>IF(B60="","",E60*G60)</f>
        <v/>
      </c>
      <c r="I60" s="9" t="n"/>
      <c r="J60" s="9">
        <f>IF(B60="","",H60+I60)</f>
        <v/>
      </c>
      <c r="K60" s="9">
        <f>IF(B60="","",IFERROR(INDEX('Advance Sheet'!$L$6:$L$105,MATCH(B60,'Advance Sheet'!$B$6:$B$105,0)),0))</f>
        <v/>
      </c>
      <c r="L60" s="9" t="n"/>
      <c r="M60" s="9" t="n"/>
      <c r="N60" s="9" t="n"/>
      <c r="O60" s="9" t="n"/>
      <c r="P60" s="9">
        <f>IF(B60="","",J60-K60-M60-N60+O60)</f>
        <v/>
      </c>
    </row>
    <row r="61">
      <c r="A61" s="6">
        <f>IF(B61="","",ROW()-5)</f>
        <v/>
      </c>
      <c r="B61" s="7" t="n"/>
      <c r="C61" s="8" t="n"/>
      <c r="D61" s="8" t="n"/>
      <c r="E61" s="8">
        <f>IF(B61="","",C61+D61)</f>
        <v/>
      </c>
      <c r="F61" s="9" t="n"/>
      <c r="G61" s="9">
        <f>IFERROR(F61/30,0)</f>
        <v/>
      </c>
      <c r="H61" s="9">
        <f>IF(B61="","",E61*G61)</f>
        <v/>
      </c>
      <c r="I61" s="9" t="n"/>
      <c r="J61" s="9">
        <f>IF(B61="","",H61+I61)</f>
        <v/>
      </c>
      <c r="K61" s="9">
        <f>IF(B61="","",IFERROR(INDEX('Advance Sheet'!$L$6:$L$105,MATCH(B61,'Advance Sheet'!$B$6:$B$105,0)),0))</f>
        <v/>
      </c>
      <c r="L61" s="9" t="n"/>
      <c r="M61" s="9" t="n"/>
      <c r="N61" s="9" t="n"/>
      <c r="O61" s="9" t="n"/>
      <c r="P61" s="9">
        <f>IF(B61="","",J61-K61-M61-N61+O61)</f>
        <v/>
      </c>
    </row>
    <row r="62">
      <c r="A62" s="6">
        <f>IF(B62="","",ROW()-5)</f>
        <v/>
      </c>
      <c r="B62" s="7" t="n"/>
      <c r="C62" s="8" t="n"/>
      <c r="D62" s="8" t="n"/>
      <c r="E62" s="8">
        <f>IF(B62="","",C62+D62)</f>
        <v/>
      </c>
      <c r="F62" s="9" t="n"/>
      <c r="G62" s="9">
        <f>IFERROR(F62/30,0)</f>
        <v/>
      </c>
      <c r="H62" s="9">
        <f>IF(B62="","",E62*G62)</f>
        <v/>
      </c>
      <c r="I62" s="9" t="n"/>
      <c r="J62" s="9">
        <f>IF(B62="","",H62+I62)</f>
        <v/>
      </c>
      <c r="K62" s="9">
        <f>IF(B62="","",IFERROR(INDEX('Advance Sheet'!$L$6:$L$105,MATCH(B62,'Advance Sheet'!$B$6:$B$105,0)),0))</f>
        <v/>
      </c>
      <c r="L62" s="9" t="n"/>
      <c r="M62" s="9" t="n"/>
      <c r="N62" s="9" t="n"/>
      <c r="O62" s="9" t="n"/>
      <c r="P62" s="9">
        <f>IF(B62="","",J62-K62-M62-N62+O62)</f>
        <v/>
      </c>
    </row>
    <row r="63">
      <c r="A63" s="6">
        <f>IF(B63="","",ROW()-5)</f>
        <v/>
      </c>
      <c r="B63" s="7" t="n"/>
      <c r="C63" s="8" t="n"/>
      <c r="D63" s="8" t="n"/>
      <c r="E63" s="8">
        <f>IF(B63="","",C63+D63)</f>
        <v/>
      </c>
      <c r="F63" s="9" t="n"/>
      <c r="G63" s="9">
        <f>IFERROR(F63/30,0)</f>
        <v/>
      </c>
      <c r="H63" s="9">
        <f>IF(B63="","",E63*G63)</f>
        <v/>
      </c>
      <c r="I63" s="9" t="n"/>
      <c r="J63" s="9">
        <f>IF(B63="","",H63+I63)</f>
        <v/>
      </c>
      <c r="K63" s="9">
        <f>IF(B63="","",IFERROR(INDEX('Advance Sheet'!$L$6:$L$105,MATCH(B63,'Advance Sheet'!$B$6:$B$105,0)),0))</f>
        <v/>
      </c>
      <c r="L63" s="9" t="n"/>
      <c r="M63" s="9" t="n"/>
      <c r="N63" s="9" t="n"/>
      <c r="O63" s="9" t="n"/>
      <c r="P63" s="9">
        <f>IF(B63="","",J63-K63-M63-N63+O63)</f>
        <v/>
      </c>
    </row>
    <row r="64">
      <c r="A64" s="6">
        <f>IF(B64="","",ROW()-5)</f>
        <v/>
      </c>
      <c r="B64" s="7" t="n"/>
      <c r="C64" s="8" t="n"/>
      <c r="D64" s="8" t="n"/>
      <c r="E64" s="8">
        <f>IF(B64="","",C64+D64)</f>
        <v/>
      </c>
      <c r="F64" s="9" t="n"/>
      <c r="G64" s="9">
        <f>IFERROR(F64/30,0)</f>
        <v/>
      </c>
      <c r="H64" s="9">
        <f>IF(B64="","",E64*G64)</f>
        <v/>
      </c>
      <c r="I64" s="9" t="n"/>
      <c r="J64" s="9">
        <f>IF(B64="","",H64+I64)</f>
        <v/>
      </c>
      <c r="K64" s="9">
        <f>IF(B64="","",IFERROR(INDEX('Advance Sheet'!$L$6:$L$105,MATCH(B64,'Advance Sheet'!$B$6:$B$105,0)),0))</f>
        <v/>
      </c>
      <c r="L64" s="9" t="n"/>
      <c r="M64" s="9" t="n"/>
      <c r="N64" s="9" t="n"/>
      <c r="O64" s="9" t="n"/>
      <c r="P64" s="9">
        <f>IF(B64="","",J64-K64-M64-N64+O64)</f>
        <v/>
      </c>
    </row>
    <row r="65">
      <c r="A65" s="6">
        <f>IF(B65="","",ROW()-5)</f>
        <v/>
      </c>
      <c r="B65" s="7" t="n"/>
      <c r="C65" s="8" t="n"/>
      <c r="D65" s="8" t="n"/>
      <c r="E65" s="8">
        <f>IF(B65="","",C65+D65)</f>
        <v/>
      </c>
      <c r="F65" s="9" t="n"/>
      <c r="G65" s="9">
        <f>IFERROR(F65/30,0)</f>
        <v/>
      </c>
      <c r="H65" s="9">
        <f>IF(B65="","",E65*G65)</f>
        <v/>
      </c>
      <c r="I65" s="9" t="n"/>
      <c r="J65" s="9">
        <f>IF(B65="","",H65+I65)</f>
        <v/>
      </c>
      <c r="K65" s="9">
        <f>IF(B65="","",IFERROR(INDEX('Advance Sheet'!$L$6:$L$105,MATCH(B65,'Advance Sheet'!$B$6:$B$105,0)),0))</f>
        <v/>
      </c>
      <c r="L65" s="9" t="n"/>
      <c r="M65" s="9" t="n"/>
      <c r="N65" s="9" t="n"/>
      <c r="O65" s="9" t="n"/>
      <c r="P65" s="9">
        <f>IF(B65="","",J65-K65-M65-N65+O65)</f>
        <v/>
      </c>
    </row>
    <row r="66">
      <c r="A66" s="6">
        <f>IF(B66="","",ROW()-5)</f>
        <v/>
      </c>
      <c r="B66" s="7" t="n"/>
      <c r="C66" s="8" t="n"/>
      <c r="D66" s="8" t="n"/>
      <c r="E66" s="8">
        <f>IF(B66="","",C66+D66)</f>
        <v/>
      </c>
      <c r="F66" s="9" t="n"/>
      <c r="G66" s="9">
        <f>IFERROR(F66/30,0)</f>
        <v/>
      </c>
      <c r="H66" s="9">
        <f>IF(B66="","",E66*G66)</f>
        <v/>
      </c>
      <c r="I66" s="9" t="n"/>
      <c r="J66" s="9">
        <f>IF(B66="","",H66+I66)</f>
        <v/>
      </c>
      <c r="K66" s="9">
        <f>IF(B66="","",IFERROR(INDEX('Advance Sheet'!$L$6:$L$105,MATCH(B66,'Advance Sheet'!$B$6:$B$105,0)),0))</f>
        <v/>
      </c>
      <c r="L66" s="9" t="n"/>
      <c r="M66" s="9" t="n"/>
      <c r="N66" s="9" t="n"/>
      <c r="O66" s="9" t="n"/>
      <c r="P66" s="9">
        <f>IF(B66="","",J66-K66-M66-N66+O66)</f>
        <v/>
      </c>
    </row>
    <row r="67">
      <c r="A67" s="6">
        <f>IF(B67="","",ROW()-5)</f>
        <v/>
      </c>
      <c r="B67" s="7" t="n"/>
      <c r="C67" s="8" t="n"/>
      <c r="D67" s="8" t="n"/>
      <c r="E67" s="8">
        <f>IF(B67="","",C67+D67)</f>
        <v/>
      </c>
      <c r="F67" s="9" t="n"/>
      <c r="G67" s="9">
        <f>IFERROR(F67/30,0)</f>
        <v/>
      </c>
      <c r="H67" s="9">
        <f>IF(B67="","",E67*G67)</f>
        <v/>
      </c>
      <c r="I67" s="9" t="n"/>
      <c r="J67" s="9">
        <f>IF(B67="","",H67+I67)</f>
        <v/>
      </c>
      <c r="K67" s="9">
        <f>IF(B67="","",IFERROR(INDEX('Advance Sheet'!$L$6:$L$105,MATCH(B67,'Advance Sheet'!$B$6:$B$105,0)),0))</f>
        <v/>
      </c>
      <c r="L67" s="9" t="n"/>
      <c r="M67" s="9" t="n"/>
      <c r="N67" s="9" t="n"/>
      <c r="O67" s="9" t="n"/>
      <c r="P67" s="9">
        <f>IF(B67="","",J67-K67-M67-N67+O67)</f>
        <v/>
      </c>
    </row>
    <row r="68">
      <c r="A68" s="6">
        <f>IF(B68="","",ROW()-5)</f>
        <v/>
      </c>
      <c r="B68" s="7" t="n"/>
      <c r="C68" s="8" t="n"/>
      <c r="D68" s="8" t="n"/>
      <c r="E68" s="8">
        <f>IF(B68="","",C68+D68)</f>
        <v/>
      </c>
      <c r="F68" s="9" t="n"/>
      <c r="G68" s="9">
        <f>IFERROR(F68/30,0)</f>
        <v/>
      </c>
      <c r="H68" s="9">
        <f>IF(B68="","",E68*G68)</f>
        <v/>
      </c>
      <c r="I68" s="9" t="n"/>
      <c r="J68" s="9">
        <f>IF(B68="","",H68+I68)</f>
        <v/>
      </c>
      <c r="K68" s="9">
        <f>IF(B68="","",IFERROR(INDEX('Advance Sheet'!$L$6:$L$105,MATCH(B68,'Advance Sheet'!$B$6:$B$105,0)),0))</f>
        <v/>
      </c>
      <c r="L68" s="9" t="n"/>
      <c r="M68" s="9" t="n"/>
      <c r="N68" s="9" t="n"/>
      <c r="O68" s="9" t="n"/>
      <c r="P68" s="9">
        <f>IF(B68="","",J68-K68-M68-N68+O68)</f>
        <v/>
      </c>
    </row>
    <row r="69">
      <c r="A69" s="6">
        <f>IF(B69="","",ROW()-5)</f>
        <v/>
      </c>
      <c r="B69" s="7" t="n"/>
      <c r="C69" s="8" t="n"/>
      <c r="D69" s="8" t="n"/>
      <c r="E69" s="8">
        <f>IF(B69="","",C69+D69)</f>
        <v/>
      </c>
      <c r="F69" s="9" t="n"/>
      <c r="G69" s="9">
        <f>IFERROR(F69/30,0)</f>
        <v/>
      </c>
      <c r="H69" s="9">
        <f>IF(B69="","",E69*G69)</f>
        <v/>
      </c>
      <c r="I69" s="9" t="n"/>
      <c r="J69" s="9">
        <f>IF(B69="","",H69+I69)</f>
        <v/>
      </c>
      <c r="K69" s="9">
        <f>IF(B69="","",IFERROR(INDEX('Advance Sheet'!$L$6:$L$105,MATCH(B69,'Advance Sheet'!$B$6:$B$105,0)),0))</f>
        <v/>
      </c>
      <c r="L69" s="9" t="n"/>
      <c r="M69" s="9" t="n"/>
      <c r="N69" s="9" t="n"/>
      <c r="O69" s="9" t="n"/>
      <c r="P69" s="9">
        <f>IF(B69="","",J69-K69-M69-N69+O69)</f>
        <v/>
      </c>
    </row>
    <row r="70">
      <c r="A70" s="6">
        <f>IF(B70="","",ROW()-5)</f>
        <v/>
      </c>
      <c r="B70" s="7" t="n"/>
      <c r="C70" s="8" t="n"/>
      <c r="D70" s="8" t="n"/>
      <c r="E70" s="8">
        <f>IF(B70="","",C70+D70)</f>
        <v/>
      </c>
      <c r="F70" s="9" t="n"/>
      <c r="G70" s="9">
        <f>IFERROR(F70/30,0)</f>
        <v/>
      </c>
      <c r="H70" s="9">
        <f>IF(B70="","",E70*G70)</f>
        <v/>
      </c>
      <c r="I70" s="9" t="n"/>
      <c r="J70" s="9">
        <f>IF(B70="","",H70+I70)</f>
        <v/>
      </c>
      <c r="K70" s="9">
        <f>IF(B70="","",IFERROR(INDEX('Advance Sheet'!$L$6:$L$105,MATCH(B70,'Advance Sheet'!$B$6:$B$105,0)),0))</f>
        <v/>
      </c>
      <c r="L70" s="9" t="n"/>
      <c r="M70" s="9" t="n"/>
      <c r="N70" s="9" t="n"/>
      <c r="O70" s="9" t="n"/>
      <c r="P70" s="9">
        <f>IF(B70="","",J70-K70-M70-N70+O70)</f>
        <v/>
      </c>
    </row>
    <row r="71">
      <c r="A71" s="6">
        <f>IF(B71="","",ROW()-5)</f>
        <v/>
      </c>
      <c r="B71" s="7" t="n"/>
      <c r="C71" s="8" t="n"/>
      <c r="D71" s="8" t="n"/>
      <c r="E71" s="8">
        <f>IF(B71="","",C71+D71)</f>
        <v/>
      </c>
      <c r="F71" s="9" t="n"/>
      <c r="G71" s="9">
        <f>IFERROR(F71/30,0)</f>
        <v/>
      </c>
      <c r="H71" s="9">
        <f>IF(B71="","",E71*G71)</f>
        <v/>
      </c>
      <c r="I71" s="9" t="n"/>
      <c r="J71" s="9">
        <f>IF(B71="","",H71+I71)</f>
        <v/>
      </c>
      <c r="K71" s="9">
        <f>IF(B71="","",IFERROR(INDEX('Advance Sheet'!$L$6:$L$105,MATCH(B71,'Advance Sheet'!$B$6:$B$105,0)),0))</f>
        <v/>
      </c>
      <c r="L71" s="9" t="n"/>
      <c r="M71" s="9" t="n"/>
      <c r="N71" s="9" t="n"/>
      <c r="O71" s="9" t="n"/>
      <c r="P71" s="9">
        <f>IF(B71="","",J71-K71-M71-N71+O71)</f>
        <v/>
      </c>
    </row>
    <row r="72">
      <c r="A72" s="6">
        <f>IF(B72="","",ROW()-5)</f>
        <v/>
      </c>
      <c r="B72" s="7" t="n"/>
      <c r="C72" s="8" t="n"/>
      <c r="D72" s="8" t="n"/>
      <c r="E72" s="8">
        <f>IF(B72="","",C72+D72)</f>
        <v/>
      </c>
      <c r="F72" s="9" t="n"/>
      <c r="G72" s="9">
        <f>IFERROR(F72/30,0)</f>
        <v/>
      </c>
      <c r="H72" s="9">
        <f>IF(B72="","",E72*G72)</f>
        <v/>
      </c>
      <c r="I72" s="9" t="n"/>
      <c r="J72" s="9">
        <f>IF(B72="","",H72+I72)</f>
        <v/>
      </c>
      <c r="K72" s="9">
        <f>IF(B72="","",IFERROR(INDEX('Advance Sheet'!$L$6:$L$105,MATCH(B72,'Advance Sheet'!$B$6:$B$105,0)),0))</f>
        <v/>
      </c>
      <c r="L72" s="9" t="n"/>
      <c r="M72" s="9" t="n"/>
      <c r="N72" s="9" t="n"/>
      <c r="O72" s="9" t="n"/>
      <c r="P72" s="9">
        <f>IF(B72="","",J72-K72-M72-N72+O72)</f>
        <v/>
      </c>
    </row>
    <row r="73">
      <c r="A73" s="6">
        <f>IF(B73="","",ROW()-5)</f>
        <v/>
      </c>
      <c r="B73" s="7" t="n"/>
      <c r="C73" s="8" t="n"/>
      <c r="D73" s="8" t="n"/>
      <c r="E73" s="8">
        <f>IF(B73="","",C73+D73)</f>
        <v/>
      </c>
      <c r="F73" s="9" t="n"/>
      <c r="G73" s="9">
        <f>IFERROR(F73/30,0)</f>
        <v/>
      </c>
      <c r="H73" s="9">
        <f>IF(B73="","",E73*G73)</f>
        <v/>
      </c>
      <c r="I73" s="9" t="n"/>
      <c r="J73" s="9">
        <f>IF(B73="","",H73+I73)</f>
        <v/>
      </c>
      <c r="K73" s="9">
        <f>IF(B73="","",IFERROR(INDEX('Advance Sheet'!$L$6:$L$105,MATCH(B73,'Advance Sheet'!$B$6:$B$105,0)),0))</f>
        <v/>
      </c>
      <c r="L73" s="9" t="n"/>
      <c r="M73" s="9" t="n"/>
      <c r="N73" s="9" t="n"/>
      <c r="O73" s="9" t="n"/>
      <c r="P73" s="9">
        <f>IF(B73="","",J73-K73-M73-N73+O73)</f>
        <v/>
      </c>
    </row>
    <row r="74">
      <c r="A74" s="6">
        <f>IF(B74="","",ROW()-5)</f>
        <v/>
      </c>
      <c r="B74" s="7" t="n"/>
      <c r="C74" s="8" t="n"/>
      <c r="D74" s="8" t="n"/>
      <c r="E74" s="8">
        <f>IF(B74="","",C74+D74)</f>
        <v/>
      </c>
      <c r="F74" s="9" t="n"/>
      <c r="G74" s="9">
        <f>IFERROR(F74/30,0)</f>
        <v/>
      </c>
      <c r="H74" s="9">
        <f>IF(B74="","",E74*G74)</f>
        <v/>
      </c>
      <c r="I74" s="9" t="n"/>
      <c r="J74" s="9">
        <f>IF(B74="","",H74+I74)</f>
        <v/>
      </c>
      <c r="K74" s="9">
        <f>IF(B74="","",IFERROR(INDEX('Advance Sheet'!$L$6:$L$105,MATCH(B74,'Advance Sheet'!$B$6:$B$105,0)),0))</f>
        <v/>
      </c>
      <c r="L74" s="9" t="n"/>
      <c r="M74" s="9" t="n"/>
      <c r="N74" s="9" t="n"/>
      <c r="O74" s="9" t="n"/>
      <c r="P74" s="9">
        <f>IF(B74="","",J74-K74-M74-N74+O74)</f>
        <v/>
      </c>
    </row>
    <row r="75">
      <c r="A75" s="6">
        <f>IF(B75="","",ROW()-5)</f>
        <v/>
      </c>
      <c r="B75" s="7" t="n"/>
      <c r="C75" s="8" t="n"/>
      <c r="D75" s="8" t="n"/>
      <c r="E75" s="8">
        <f>IF(B75="","",C75+D75)</f>
        <v/>
      </c>
      <c r="F75" s="9" t="n"/>
      <c r="G75" s="9">
        <f>IFERROR(F75/30,0)</f>
        <v/>
      </c>
      <c r="H75" s="9">
        <f>IF(B75="","",E75*G75)</f>
        <v/>
      </c>
      <c r="I75" s="9" t="n"/>
      <c r="J75" s="9">
        <f>IF(B75="","",H75+I75)</f>
        <v/>
      </c>
      <c r="K75" s="9">
        <f>IF(B75="","",IFERROR(INDEX('Advance Sheet'!$L$6:$L$105,MATCH(B75,'Advance Sheet'!$B$6:$B$105,0)),0))</f>
        <v/>
      </c>
      <c r="L75" s="9" t="n"/>
      <c r="M75" s="9" t="n"/>
      <c r="N75" s="9" t="n"/>
      <c r="O75" s="9" t="n"/>
      <c r="P75" s="9">
        <f>IF(B75="","",J75-K75-M75-N75+O75)</f>
        <v/>
      </c>
    </row>
    <row r="76">
      <c r="A76" s="6">
        <f>IF(B76="","",ROW()-5)</f>
        <v/>
      </c>
      <c r="B76" s="7" t="n"/>
      <c r="C76" s="8" t="n"/>
      <c r="D76" s="8" t="n"/>
      <c r="E76" s="8">
        <f>IF(B76="","",C76+D76)</f>
        <v/>
      </c>
      <c r="F76" s="9" t="n"/>
      <c r="G76" s="9">
        <f>IFERROR(F76/30,0)</f>
        <v/>
      </c>
      <c r="H76" s="9">
        <f>IF(B76="","",E76*G76)</f>
        <v/>
      </c>
      <c r="I76" s="9" t="n"/>
      <c r="J76" s="9">
        <f>IF(B76="","",H76+I76)</f>
        <v/>
      </c>
      <c r="K76" s="9">
        <f>IF(B76="","",IFERROR(INDEX('Advance Sheet'!$L$6:$L$105,MATCH(B76,'Advance Sheet'!$B$6:$B$105,0)),0))</f>
        <v/>
      </c>
      <c r="L76" s="9" t="n"/>
      <c r="M76" s="9" t="n"/>
      <c r="N76" s="9" t="n"/>
      <c r="O76" s="9" t="n"/>
      <c r="P76" s="9">
        <f>IF(B76="","",J76-K76-M76-N76+O76)</f>
        <v/>
      </c>
    </row>
    <row r="77">
      <c r="A77" s="6">
        <f>IF(B77="","",ROW()-5)</f>
        <v/>
      </c>
      <c r="B77" s="7" t="n"/>
      <c r="C77" s="8" t="n"/>
      <c r="D77" s="8" t="n"/>
      <c r="E77" s="8">
        <f>IF(B77="","",C77+D77)</f>
        <v/>
      </c>
      <c r="F77" s="9" t="n"/>
      <c r="G77" s="9">
        <f>IFERROR(F77/30,0)</f>
        <v/>
      </c>
      <c r="H77" s="9">
        <f>IF(B77="","",E77*G77)</f>
        <v/>
      </c>
      <c r="I77" s="9" t="n"/>
      <c r="J77" s="9">
        <f>IF(B77="","",H77+I77)</f>
        <v/>
      </c>
      <c r="K77" s="9">
        <f>IF(B77="","",IFERROR(INDEX('Advance Sheet'!$L$6:$L$105,MATCH(B77,'Advance Sheet'!$B$6:$B$105,0)),0))</f>
        <v/>
      </c>
      <c r="L77" s="9" t="n"/>
      <c r="M77" s="9" t="n"/>
      <c r="N77" s="9" t="n"/>
      <c r="O77" s="9" t="n"/>
      <c r="P77" s="9">
        <f>IF(B77="","",J77-K77-M77-N77+O77)</f>
        <v/>
      </c>
    </row>
    <row r="78">
      <c r="A78" s="6">
        <f>IF(B78="","",ROW()-5)</f>
        <v/>
      </c>
      <c r="B78" s="7" t="n"/>
      <c r="C78" s="8" t="n"/>
      <c r="D78" s="8" t="n"/>
      <c r="E78" s="8">
        <f>IF(B78="","",C78+D78)</f>
        <v/>
      </c>
      <c r="F78" s="9" t="n"/>
      <c r="G78" s="9">
        <f>IFERROR(F78/30,0)</f>
        <v/>
      </c>
      <c r="H78" s="9">
        <f>IF(B78="","",E78*G78)</f>
        <v/>
      </c>
      <c r="I78" s="9" t="n"/>
      <c r="J78" s="9">
        <f>IF(B78="","",H78+I78)</f>
        <v/>
      </c>
      <c r="K78" s="9">
        <f>IF(B78="","",IFERROR(INDEX('Advance Sheet'!$L$6:$L$105,MATCH(B78,'Advance Sheet'!$B$6:$B$105,0)),0))</f>
        <v/>
      </c>
      <c r="L78" s="9" t="n"/>
      <c r="M78" s="9" t="n"/>
      <c r="N78" s="9" t="n"/>
      <c r="O78" s="9" t="n"/>
      <c r="P78" s="9">
        <f>IF(B78="","",J78-K78-M78-N78+O78)</f>
        <v/>
      </c>
    </row>
    <row r="79">
      <c r="A79" s="6">
        <f>IF(B79="","",ROW()-5)</f>
        <v/>
      </c>
      <c r="B79" s="7" t="n"/>
      <c r="C79" s="8" t="n"/>
      <c r="D79" s="8" t="n"/>
      <c r="E79" s="8">
        <f>IF(B79="","",C79+D79)</f>
        <v/>
      </c>
      <c r="F79" s="9" t="n"/>
      <c r="G79" s="9">
        <f>IFERROR(F79/30,0)</f>
        <v/>
      </c>
      <c r="H79" s="9">
        <f>IF(B79="","",E79*G79)</f>
        <v/>
      </c>
      <c r="I79" s="9" t="n"/>
      <c r="J79" s="9">
        <f>IF(B79="","",H79+I79)</f>
        <v/>
      </c>
      <c r="K79" s="9">
        <f>IF(B79="","",IFERROR(INDEX('Advance Sheet'!$L$6:$L$105,MATCH(B79,'Advance Sheet'!$B$6:$B$105,0)),0))</f>
        <v/>
      </c>
      <c r="L79" s="9" t="n"/>
      <c r="M79" s="9" t="n"/>
      <c r="N79" s="9" t="n"/>
      <c r="O79" s="9" t="n"/>
      <c r="P79" s="9">
        <f>IF(B79="","",J79-K79-M79-N79+O79)</f>
        <v/>
      </c>
    </row>
    <row r="80">
      <c r="A80" s="6">
        <f>IF(B80="","",ROW()-5)</f>
        <v/>
      </c>
      <c r="B80" s="7" t="n"/>
      <c r="C80" s="8" t="n"/>
      <c r="D80" s="8" t="n"/>
      <c r="E80" s="8">
        <f>IF(B80="","",C80+D80)</f>
        <v/>
      </c>
      <c r="F80" s="9" t="n"/>
      <c r="G80" s="9">
        <f>IFERROR(F80/30,0)</f>
        <v/>
      </c>
      <c r="H80" s="9">
        <f>IF(B80="","",E80*G80)</f>
        <v/>
      </c>
      <c r="I80" s="9" t="n"/>
      <c r="J80" s="9">
        <f>IF(B80="","",H80+I80)</f>
        <v/>
      </c>
      <c r="K80" s="9">
        <f>IF(B80="","",IFERROR(INDEX('Advance Sheet'!$L$6:$L$105,MATCH(B80,'Advance Sheet'!$B$6:$B$105,0)),0))</f>
        <v/>
      </c>
      <c r="L80" s="9" t="n"/>
      <c r="M80" s="9" t="n"/>
      <c r="N80" s="9" t="n"/>
      <c r="O80" s="9" t="n"/>
      <c r="P80" s="9">
        <f>IF(B80="","",J80-K80-M80-N80+O80)</f>
        <v/>
      </c>
    </row>
    <row r="81">
      <c r="A81" s="6">
        <f>IF(B81="","",ROW()-5)</f>
        <v/>
      </c>
      <c r="B81" s="7" t="n"/>
      <c r="C81" s="8" t="n"/>
      <c r="D81" s="8" t="n"/>
      <c r="E81" s="8">
        <f>IF(B81="","",C81+D81)</f>
        <v/>
      </c>
      <c r="F81" s="9" t="n"/>
      <c r="G81" s="9">
        <f>IFERROR(F81/30,0)</f>
        <v/>
      </c>
      <c r="H81" s="9">
        <f>IF(B81="","",E81*G81)</f>
        <v/>
      </c>
      <c r="I81" s="9" t="n"/>
      <c r="J81" s="9">
        <f>IF(B81="","",H81+I81)</f>
        <v/>
      </c>
      <c r="K81" s="9">
        <f>IF(B81="","",IFERROR(INDEX('Advance Sheet'!$L$6:$L$105,MATCH(B81,'Advance Sheet'!$B$6:$B$105,0)),0))</f>
        <v/>
      </c>
      <c r="L81" s="9" t="n"/>
      <c r="M81" s="9" t="n"/>
      <c r="N81" s="9" t="n"/>
      <c r="O81" s="9" t="n"/>
      <c r="P81" s="9">
        <f>IF(B81="","",J81-K81-M81-N81+O81)</f>
        <v/>
      </c>
    </row>
    <row r="82">
      <c r="A82" s="6">
        <f>IF(B82="","",ROW()-5)</f>
        <v/>
      </c>
      <c r="B82" s="7" t="n"/>
      <c r="C82" s="8" t="n"/>
      <c r="D82" s="8" t="n"/>
      <c r="E82" s="8">
        <f>IF(B82="","",C82+D82)</f>
        <v/>
      </c>
      <c r="F82" s="9" t="n"/>
      <c r="G82" s="9">
        <f>IFERROR(F82/30,0)</f>
        <v/>
      </c>
      <c r="H82" s="9">
        <f>IF(B82="","",E82*G82)</f>
        <v/>
      </c>
      <c r="I82" s="9" t="n"/>
      <c r="J82" s="9">
        <f>IF(B82="","",H82+I82)</f>
        <v/>
      </c>
      <c r="K82" s="9">
        <f>IF(B82="","",IFERROR(INDEX('Advance Sheet'!$L$6:$L$105,MATCH(B82,'Advance Sheet'!$B$6:$B$105,0)),0))</f>
        <v/>
      </c>
      <c r="L82" s="9" t="n"/>
      <c r="M82" s="9" t="n"/>
      <c r="N82" s="9" t="n"/>
      <c r="O82" s="9" t="n"/>
      <c r="P82" s="9">
        <f>IF(B82="","",J82-K82-M82-N82+O82)</f>
        <v/>
      </c>
    </row>
    <row r="83">
      <c r="A83" s="6">
        <f>IF(B83="","",ROW()-5)</f>
        <v/>
      </c>
      <c r="B83" s="7" t="n"/>
      <c r="C83" s="8" t="n"/>
      <c r="D83" s="8" t="n"/>
      <c r="E83" s="8">
        <f>IF(B83="","",C83+D83)</f>
        <v/>
      </c>
      <c r="F83" s="9" t="n"/>
      <c r="G83" s="9">
        <f>IFERROR(F83/30,0)</f>
        <v/>
      </c>
      <c r="H83" s="9">
        <f>IF(B83="","",E83*G83)</f>
        <v/>
      </c>
      <c r="I83" s="9" t="n"/>
      <c r="J83" s="9">
        <f>IF(B83="","",H83+I83)</f>
        <v/>
      </c>
      <c r="K83" s="9">
        <f>IF(B83="","",IFERROR(INDEX('Advance Sheet'!$L$6:$L$105,MATCH(B83,'Advance Sheet'!$B$6:$B$105,0)),0))</f>
        <v/>
      </c>
      <c r="L83" s="9" t="n"/>
      <c r="M83" s="9" t="n"/>
      <c r="N83" s="9" t="n"/>
      <c r="O83" s="9" t="n"/>
      <c r="P83" s="9">
        <f>IF(B83="","",J83-K83-M83-N83+O83)</f>
        <v/>
      </c>
    </row>
    <row r="84">
      <c r="A84" s="6">
        <f>IF(B84="","",ROW()-5)</f>
        <v/>
      </c>
      <c r="B84" s="7" t="n"/>
      <c r="C84" s="8" t="n"/>
      <c r="D84" s="8" t="n"/>
      <c r="E84" s="8">
        <f>IF(B84="","",C84+D84)</f>
        <v/>
      </c>
      <c r="F84" s="9" t="n"/>
      <c r="G84" s="9">
        <f>IFERROR(F84/30,0)</f>
        <v/>
      </c>
      <c r="H84" s="9">
        <f>IF(B84="","",E84*G84)</f>
        <v/>
      </c>
      <c r="I84" s="9" t="n"/>
      <c r="J84" s="9">
        <f>IF(B84="","",H84+I84)</f>
        <v/>
      </c>
      <c r="K84" s="9">
        <f>IF(B84="","",IFERROR(INDEX('Advance Sheet'!$L$6:$L$105,MATCH(B84,'Advance Sheet'!$B$6:$B$105,0)),0))</f>
        <v/>
      </c>
      <c r="L84" s="9" t="n"/>
      <c r="M84" s="9" t="n"/>
      <c r="N84" s="9" t="n"/>
      <c r="O84" s="9" t="n"/>
      <c r="P84" s="9">
        <f>IF(B84="","",J84-K84-M84-N84+O84)</f>
        <v/>
      </c>
    </row>
    <row r="85">
      <c r="A85" s="6">
        <f>IF(B85="","",ROW()-5)</f>
        <v/>
      </c>
      <c r="B85" s="7" t="n"/>
      <c r="C85" s="8" t="n"/>
      <c r="D85" s="8" t="n"/>
      <c r="E85" s="8">
        <f>IF(B85="","",C85+D85)</f>
        <v/>
      </c>
      <c r="F85" s="9" t="n"/>
      <c r="G85" s="9">
        <f>IFERROR(F85/30,0)</f>
        <v/>
      </c>
      <c r="H85" s="9">
        <f>IF(B85="","",E85*G85)</f>
        <v/>
      </c>
      <c r="I85" s="9" t="n"/>
      <c r="J85" s="9">
        <f>IF(B85="","",H85+I85)</f>
        <v/>
      </c>
      <c r="K85" s="9">
        <f>IF(B85="","",IFERROR(INDEX('Advance Sheet'!$L$6:$L$105,MATCH(B85,'Advance Sheet'!$B$6:$B$105,0)),0))</f>
        <v/>
      </c>
      <c r="L85" s="9" t="n"/>
      <c r="M85" s="9" t="n"/>
      <c r="N85" s="9" t="n"/>
      <c r="O85" s="9" t="n"/>
      <c r="P85" s="9">
        <f>IF(B85="","",J85-K85-M85-N85+O85)</f>
        <v/>
      </c>
    </row>
    <row r="86">
      <c r="A86" s="6">
        <f>IF(B86="","",ROW()-5)</f>
        <v/>
      </c>
      <c r="B86" s="7" t="n"/>
      <c r="C86" s="8" t="n"/>
      <c r="D86" s="8" t="n"/>
      <c r="E86" s="8">
        <f>IF(B86="","",C86+D86)</f>
        <v/>
      </c>
      <c r="F86" s="9" t="n"/>
      <c r="G86" s="9">
        <f>IFERROR(F86/30,0)</f>
        <v/>
      </c>
      <c r="H86" s="9">
        <f>IF(B86="","",E86*G86)</f>
        <v/>
      </c>
      <c r="I86" s="9" t="n"/>
      <c r="J86" s="9">
        <f>IF(B86="","",H86+I86)</f>
        <v/>
      </c>
      <c r="K86" s="9">
        <f>IF(B86="","",IFERROR(INDEX('Advance Sheet'!$L$6:$L$105,MATCH(B86,'Advance Sheet'!$B$6:$B$105,0)),0))</f>
        <v/>
      </c>
      <c r="L86" s="9" t="n"/>
      <c r="M86" s="9" t="n"/>
      <c r="N86" s="9" t="n"/>
      <c r="O86" s="9" t="n"/>
      <c r="P86" s="9">
        <f>IF(B86="","",J86-K86-M86-N86+O86)</f>
        <v/>
      </c>
    </row>
    <row r="87">
      <c r="A87" s="6">
        <f>IF(B87="","",ROW()-5)</f>
        <v/>
      </c>
      <c r="B87" s="7" t="n"/>
      <c r="C87" s="8" t="n"/>
      <c r="D87" s="8" t="n"/>
      <c r="E87" s="8">
        <f>IF(B87="","",C87+D87)</f>
        <v/>
      </c>
      <c r="F87" s="9" t="n"/>
      <c r="G87" s="9">
        <f>IFERROR(F87/30,0)</f>
        <v/>
      </c>
      <c r="H87" s="9">
        <f>IF(B87="","",E87*G87)</f>
        <v/>
      </c>
      <c r="I87" s="9" t="n"/>
      <c r="J87" s="9">
        <f>IF(B87="","",H87+I87)</f>
        <v/>
      </c>
      <c r="K87" s="9">
        <f>IF(B87="","",IFERROR(INDEX('Advance Sheet'!$L$6:$L$105,MATCH(B87,'Advance Sheet'!$B$6:$B$105,0)),0))</f>
        <v/>
      </c>
      <c r="L87" s="9" t="n"/>
      <c r="M87" s="9" t="n"/>
      <c r="N87" s="9" t="n"/>
      <c r="O87" s="9" t="n"/>
      <c r="P87" s="9">
        <f>IF(B87="","",J87-K87-M87-N87+O87)</f>
        <v/>
      </c>
    </row>
    <row r="88">
      <c r="A88" s="6">
        <f>IF(B88="","",ROW()-5)</f>
        <v/>
      </c>
      <c r="B88" s="7" t="n"/>
      <c r="C88" s="8" t="n"/>
      <c r="D88" s="8" t="n"/>
      <c r="E88" s="8">
        <f>IF(B88="","",C88+D88)</f>
        <v/>
      </c>
      <c r="F88" s="9" t="n"/>
      <c r="G88" s="9">
        <f>IFERROR(F88/30,0)</f>
        <v/>
      </c>
      <c r="H88" s="9">
        <f>IF(B88="","",E88*G88)</f>
        <v/>
      </c>
      <c r="I88" s="9" t="n"/>
      <c r="J88" s="9">
        <f>IF(B88="","",H88+I88)</f>
        <v/>
      </c>
      <c r="K88" s="9">
        <f>IF(B88="","",IFERROR(INDEX('Advance Sheet'!$L$6:$L$105,MATCH(B88,'Advance Sheet'!$B$6:$B$105,0)),0))</f>
        <v/>
      </c>
      <c r="L88" s="9" t="n"/>
      <c r="M88" s="9" t="n"/>
      <c r="N88" s="9" t="n"/>
      <c r="O88" s="9" t="n"/>
      <c r="P88" s="9">
        <f>IF(B88="","",J88-K88-M88-N88+O88)</f>
        <v/>
      </c>
    </row>
    <row r="89">
      <c r="A89" s="6">
        <f>IF(B89="","",ROW()-5)</f>
        <v/>
      </c>
      <c r="B89" s="7" t="n"/>
      <c r="C89" s="8" t="n"/>
      <c r="D89" s="8" t="n"/>
      <c r="E89" s="8">
        <f>IF(B89="","",C89+D89)</f>
        <v/>
      </c>
      <c r="F89" s="9" t="n"/>
      <c r="G89" s="9">
        <f>IFERROR(F89/30,0)</f>
        <v/>
      </c>
      <c r="H89" s="9">
        <f>IF(B89="","",E89*G89)</f>
        <v/>
      </c>
      <c r="I89" s="9" t="n"/>
      <c r="J89" s="9">
        <f>IF(B89="","",H89+I89)</f>
        <v/>
      </c>
      <c r="K89" s="9">
        <f>IF(B89="","",IFERROR(INDEX('Advance Sheet'!$L$6:$L$105,MATCH(B89,'Advance Sheet'!$B$6:$B$105,0)),0))</f>
        <v/>
      </c>
      <c r="L89" s="9" t="n"/>
      <c r="M89" s="9" t="n"/>
      <c r="N89" s="9" t="n"/>
      <c r="O89" s="9" t="n"/>
      <c r="P89" s="9">
        <f>IF(B89="","",J89-K89-M89-N89+O89)</f>
        <v/>
      </c>
    </row>
    <row r="90">
      <c r="A90" s="6">
        <f>IF(B90="","",ROW()-5)</f>
        <v/>
      </c>
      <c r="B90" s="7" t="n"/>
      <c r="C90" s="8" t="n"/>
      <c r="D90" s="8" t="n"/>
      <c r="E90" s="8">
        <f>IF(B90="","",C90+D90)</f>
        <v/>
      </c>
      <c r="F90" s="9" t="n"/>
      <c r="G90" s="9">
        <f>IFERROR(F90/30,0)</f>
        <v/>
      </c>
      <c r="H90" s="9">
        <f>IF(B90="","",E90*G90)</f>
        <v/>
      </c>
      <c r="I90" s="9" t="n"/>
      <c r="J90" s="9">
        <f>IF(B90="","",H90+I90)</f>
        <v/>
      </c>
      <c r="K90" s="9">
        <f>IF(B90="","",IFERROR(INDEX('Advance Sheet'!$L$6:$L$105,MATCH(B90,'Advance Sheet'!$B$6:$B$105,0)),0))</f>
        <v/>
      </c>
      <c r="L90" s="9" t="n"/>
      <c r="M90" s="9" t="n"/>
      <c r="N90" s="9" t="n"/>
      <c r="O90" s="9" t="n"/>
      <c r="P90" s="9">
        <f>IF(B90="","",J90-K90-M90-N90+O90)</f>
        <v/>
      </c>
    </row>
    <row r="91">
      <c r="A91" s="6">
        <f>IF(B91="","",ROW()-5)</f>
        <v/>
      </c>
      <c r="B91" s="7" t="n"/>
      <c r="C91" s="8" t="n"/>
      <c r="D91" s="8" t="n"/>
      <c r="E91" s="8">
        <f>IF(B91="","",C91+D91)</f>
        <v/>
      </c>
      <c r="F91" s="9" t="n"/>
      <c r="G91" s="9">
        <f>IFERROR(F91/30,0)</f>
        <v/>
      </c>
      <c r="H91" s="9">
        <f>IF(B91="","",E91*G91)</f>
        <v/>
      </c>
      <c r="I91" s="9" t="n"/>
      <c r="J91" s="9">
        <f>IF(B91="","",H91+I91)</f>
        <v/>
      </c>
      <c r="K91" s="9">
        <f>IF(B91="","",IFERROR(INDEX('Advance Sheet'!$L$6:$L$105,MATCH(B91,'Advance Sheet'!$B$6:$B$105,0)),0))</f>
        <v/>
      </c>
      <c r="L91" s="9" t="n"/>
      <c r="M91" s="9" t="n"/>
      <c r="N91" s="9" t="n"/>
      <c r="O91" s="9" t="n"/>
      <c r="P91" s="9">
        <f>IF(B91="","",J91-K91-M91-N91+O91)</f>
        <v/>
      </c>
    </row>
    <row r="92">
      <c r="A92" s="6">
        <f>IF(B92="","",ROW()-5)</f>
        <v/>
      </c>
      <c r="B92" s="7" t="n"/>
      <c r="C92" s="8" t="n"/>
      <c r="D92" s="8" t="n"/>
      <c r="E92" s="8">
        <f>IF(B92="","",C92+D92)</f>
        <v/>
      </c>
      <c r="F92" s="9" t="n"/>
      <c r="G92" s="9">
        <f>IFERROR(F92/30,0)</f>
        <v/>
      </c>
      <c r="H92" s="9">
        <f>IF(B92="","",E92*G92)</f>
        <v/>
      </c>
      <c r="I92" s="9" t="n"/>
      <c r="J92" s="9">
        <f>IF(B92="","",H92+I92)</f>
        <v/>
      </c>
      <c r="K92" s="9">
        <f>IF(B92="","",IFERROR(INDEX('Advance Sheet'!$L$6:$L$105,MATCH(B92,'Advance Sheet'!$B$6:$B$105,0)),0))</f>
        <v/>
      </c>
      <c r="L92" s="9" t="n"/>
      <c r="M92" s="9" t="n"/>
      <c r="N92" s="9" t="n"/>
      <c r="O92" s="9" t="n"/>
      <c r="P92" s="9">
        <f>IF(B92="","",J92-K92-M92-N92+O92)</f>
        <v/>
      </c>
    </row>
    <row r="93">
      <c r="A93" s="6">
        <f>IF(B93="","",ROW()-5)</f>
        <v/>
      </c>
      <c r="B93" s="7" t="n"/>
      <c r="C93" s="8" t="n"/>
      <c r="D93" s="8" t="n"/>
      <c r="E93" s="8">
        <f>IF(B93="","",C93+D93)</f>
        <v/>
      </c>
      <c r="F93" s="9" t="n"/>
      <c r="G93" s="9">
        <f>IFERROR(F93/30,0)</f>
        <v/>
      </c>
      <c r="H93" s="9">
        <f>IF(B93="","",E93*G93)</f>
        <v/>
      </c>
      <c r="I93" s="9" t="n"/>
      <c r="J93" s="9">
        <f>IF(B93="","",H93+I93)</f>
        <v/>
      </c>
      <c r="K93" s="9">
        <f>IF(B93="","",IFERROR(INDEX('Advance Sheet'!$L$6:$L$105,MATCH(B93,'Advance Sheet'!$B$6:$B$105,0)),0))</f>
        <v/>
      </c>
      <c r="L93" s="9" t="n"/>
      <c r="M93" s="9" t="n"/>
      <c r="N93" s="9" t="n"/>
      <c r="O93" s="9" t="n"/>
      <c r="P93" s="9">
        <f>IF(B93="","",J93-K93-M93-N93+O93)</f>
        <v/>
      </c>
    </row>
    <row r="94">
      <c r="A94" s="6">
        <f>IF(B94="","",ROW()-5)</f>
        <v/>
      </c>
      <c r="B94" s="7" t="n"/>
      <c r="C94" s="8" t="n"/>
      <c r="D94" s="8" t="n"/>
      <c r="E94" s="8">
        <f>IF(B94="","",C94+D94)</f>
        <v/>
      </c>
      <c r="F94" s="9" t="n"/>
      <c r="G94" s="9">
        <f>IFERROR(F94/30,0)</f>
        <v/>
      </c>
      <c r="H94" s="9">
        <f>IF(B94="","",E94*G94)</f>
        <v/>
      </c>
      <c r="I94" s="9" t="n"/>
      <c r="J94" s="9">
        <f>IF(B94="","",H94+I94)</f>
        <v/>
      </c>
      <c r="K94" s="9">
        <f>IF(B94="","",IFERROR(INDEX('Advance Sheet'!$L$6:$L$105,MATCH(B94,'Advance Sheet'!$B$6:$B$105,0)),0))</f>
        <v/>
      </c>
      <c r="L94" s="9" t="n"/>
      <c r="M94" s="9" t="n"/>
      <c r="N94" s="9" t="n"/>
      <c r="O94" s="9" t="n"/>
      <c r="P94" s="9">
        <f>IF(B94="","",J94-K94-M94-N94+O94)</f>
        <v/>
      </c>
    </row>
    <row r="95">
      <c r="A95" s="6">
        <f>IF(B95="","",ROW()-5)</f>
        <v/>
      </c>
      <c r="B95" s="7" t="n"/>
      <c r="C95" s="8" t="n"/>
      <c r="D95" s="8" t="n"/>
      <c r="E95" s="8">
        <f>IF(B95="","",C95+D95)</f>
        <v/>
      </c>
      <c r="F95" s="9" t="n"/>
      <c r="G95" s="9">
        <f>IFERROR(F95/30,0)</f>
        <v/>
      </c>
      <c r="H95" s="9">
        <f>IF(B95="","",E95*G95)</f>
        <v/>
      </c>
      <c r="I95" s="9" t="n"/>
      <c r="J95" s="9">
        <f>IF(B95="","",H95+I95)</f>
        <v/>
      </c>
      <c r="K95" s="9">
        <f>IF(B95="","",IFERROR(INDEX('Advance Sheet'!$L$6:$L$105,MATCH(B95,'Advance Sheet'!$B$6:$B$105,0)),0))</f>
        <v/>
      </c>
      <c r="L95" s="9" t="n"/>
      <c r="M95" s="9" t="n"/>
      <c r="N95" s="9" t="n"/>
      <c r="O95" s="9" t="n"/>
      <c r="P95" s="9">
        <f>IF(B95="","",J95-K95-M95-N95+O95)</f>
        <v/>
      </c>
    </row>
    <row r="96">
      <c r="A96" s="6">
        <f>IF(B96="","",ROW()-5)</f>
        <v/>
      </c>
      <c r="B96" s="7" t="n"/>
      <c r="C96" s="8" t="n"/>
      <c r="D96" s="8" t="n"/>
      <c r="E96" s="8">
        <f>IF(B96="","",C96+D96)</f>
        <v/>
      </c>
      <c r="F96" s="9" t="n"/>
      <c r="G96" s="9">
        <f>IFERROR(F96/30,0)</f>
        <v/>
      </c>
      <c r="H96" s="9">
        <f>IF(B96="","",E96*G96)</f>
        <v/>
      </c>
      <c r="I96" s="9" t="n"/>
      <c r="J96" s="9">
        <f>IF(B96="","",H96+I96)</f>
        <v/>
      </c>
      <c r="K96" s="9">
        <f>IF(B96="","",IFERROR(INDEX('Advance Sheet'!$L$6:$L$105,MATCH(B96,'Advance Sheet'!$B$6:$B$105,0)),0))</f>
        <v/>
      </c>
      <c r="L96" s="9" t="n"/>
      <c r="M96" s="9" t="n"/>
      <c r="N96" s="9" t="n"/>
      <c r="O96" s="9" t="n"/>
      <c r="P96" s="9">
        <f>IF(B96="","",J96-K96-M96-N96+O96)</f>
        <v/>
      </c>
    </row>
    <row r="97">
      <c r="A97" s="6">
        <f>IF(B97="","",ROW()-5)</f>
        <v/>
      </c>
      <c r="B97" s="7" t="n"/>
      <c r="C97" s="8" t="n"/>
      <c r="D97" s="8" t="n"/>
      <c r="E97" s="8">
        <f>IF(B97="","",C97+D97)</f>
        <v/>
      </c>
      <c r="F97" s="9" t="n"/>
      <c r="G97" s="9">
        <f>IFERROR(F97/30,0)</f>
        <v/>
      </c>
      <c r="H97" s="9">
        <f>IF(B97="","",E97*G97)</f>
        <v/>
      </c>
      <c r="I97" s="9" t="n"/>
      <c r="J97" s="9">
        <f>IF(B97="","",H97+I97)</f>
        <v/>
      </c>
      <c r="K97" s="9">
        <f>IF(B97="","",IFERROR(INDEX('Advance Sheet'!$L$6:$L$105,MATCH(B97,'Advance Sheet'!$B$6:$B$105,0)),0))</f>
        <v/>
      </c>
      <c r="L97" s="9" t="n"/>
      <c r="M97" s="9" t="n"/>
      <c r="N97" s="9" t="n"/>
      <c r="O97" s="9" t="n"/>
      <c r="P97" s="9">
        <f>IF(B97="","",J97-K97-M97-N97+O97)</f>
        <v/>
      </c>
    </row>
    <row r="98">
      <c r="A98" s="6">
        <f>IF(B98="","",ROW()-5)</f>
        <v/>
      </c>
      <c r="B98" s="7" t="n"/>
      <c r="C98" s="8" t="n"/>
      <c r="D98" s="8" t="n"/>
      <c r="E98" s="8">
        <f>IF(B98="","",C98+D98)</f>
        <v/>
      </c>
      <c r="F98" s="9" t="n"/>
      <c r="G98" s="9">
        <f>IFERROR(F98/30,0)</f>
        <v/>
      </c>
      <c r="H98" s="9">
        <f>IF(B98="","",E98*G98)</f>
        <v/>
      </c>
      <c r="I98" s="9" t="n"/>
      <c r="J98" s="9">
        <f>IF(B98="","",H98+I98)</f>
        <v/>
      </c>
      <c r="K98" s="9">
        <f>IF(B98="","",IFERROR(INDEX('Advance Sheet'!$L$6:$L$105,MATCH(B98,'Advance Sheet'!$B$6:$B$105,0)),0))</f>
        <v/>
      </c>
      <c r="L98" s="9" t="n"/>
      <c r="M98" s="9" t="n"/>
      <c r="N98" s="9" t="n"/>
      <c r="O98" s="9" t="n"/>
      <c r="P98" s="9">
        <f>IF(B98="","",J98-K98-M98-N98+O98)</f>
        <v/>
      </c>
    </row>
    <row r="99">
      <c r="A99" s="6">
        <f>IF(B99="","",ROW()-5)</f>
        <v/>
      </c>
      <c r="B99" s="7" t="n"/>
      <c r="C99" s="8" t="n"/>
      <c r="D99" s="8" t="n"/>
      <c r="E99" s="8">
        <f>IF(B99="","",C99+D99)</f>
        <v/>
      </c>
      <c r="F99" s="9" t="n"/>
      <c r="G99" s="9">
        <f>IFERROR(F99/30,0)</f>
        <v/>
      </c>
      <c r="H99" s="9">
        <f>IF(B99="","",E99*G99)</f>
        <v/>
      </c>
      <c r="I99" s="9" t="n"/>
      <c r="J99" s="9">
        <f>IF(B99="","",H99+I99)</f>
        <v/>
      </c>
      <c r="K99" s="9">
        <f>IF(B99="","",IFERROR(INDEX('Advance Sheet'!$L$6:$L$105,MATCH(B99,'Advance Sheet'!$B$6:$B$105,0)),0))</f>
        <v/>
      </c>
      <c r="L99" s="9" t="n"/>
      <c r="M99" s="9" t="n"/>
      <c r="N99" s="9" t="n"/>
      <c r="O99" s="9" t="n"/>
      <c r="P99" s="9">
        <f>IF(B99="","",J99-K99-M99-N99+O99)</f>
        <v/>
      </c>
    </row>
    <row r="100">
      <c r="A100" s="6">
        <f>IF(B100="","",ROW()-5)</f>
        <v/>
      </c>
      <c r="B100" s="7" t="n"/>
      <c r="C100" s="8" t="n"/>
      <c r="D100" s="8" t="n"/>
      <c r="E100" s="8">
        <f>IF(B100="","",C100+D100)</f>
        <v/>
      </c>
      <c r="F100" s="9" t="n"/>
      <c r="G100" s="9">
        <f>IFERROR(F100/30,0)</f>
        <v/>
      </c>
      <c r="H100" s="9">
        <f>IF(B100="","",E100*G100)</f>
        <v/>
      </c>
      <c r="I100" s="9" t="n"/>
      <c r="J100" s="9">
        <f>IF(B100="","",H100+I100)</f>
        <v/>
      </c>
      <c r="K100" s="9">
        <f>IF(B100="","",IFERROR(INDEX('Advance Sheet'!$L$6:$L$105,MATCH(B100,'Advance Sheet'!$B$6:$B$105,0)),0))</f>
        <v/>
      </c>
      <c r="L100" s="9" t="n"/>
      <c r="M100" s="9" t="n"/>
      <c r="N100" s="9" t="n"/>
      <c r="O100" s="9" t="n"/>
      <c r="P100" s="9">
        <f>IF(B100="","",J100-K100-M100-N100+O100)</f>
        <v/>
      </c>
    </row>
    <row r="101">
      <c r="A101" s="6">
        <f>IF(B101="","",ROW()-5)</f>
        <v/>
      </c>
      <c r="B101" s="7" t="n"/>
      <c r="C101" s="8" t="n"/>
      <c r="D101" s="8" t="n"/>
      <c r="E101" s="8">
        <f>IF(B101="","",C101+D101)</f>
        <v/>
      </c>
      <c r="F101" s="9" t="n"/>
      <c r="G101" s="9">
        <f>IFERROR(F101/30,0)</f>
        <v/>
      </c>
      <c r="H101" s="9">
        <f>IF(B101="","",E101*G101)</f>
        <v/>
      </c>
      <c r="I101" s="9" t="n"/>
      <c r="J101" s="9">
        <f>IF(B101="","",H101+I101)</f>
        <v/>
      </c>
      <c r="K101" s="9">
        <f>IF(B101="","",IFERROR(INDEX('Advance Sheet'!$L$6:$L$105,MATCH(B101,'Advance Sheet'!$B$6:$B$105,0)),0))</f>
        <v/>
      </c>
      <c r="L101" s="9" t="n"/>
      <c r="M101" s="9" t="n"/>
      <c r="N101" s="9" t="n"/>
      <c r="O101" s="9" t="n"/>
      <c r="P101" s="9">
        <f>IF(B101="","",J101-K101-M101-N101+O101)</f>
        <v/>
      </c>
    </row>
    <row r="102">
      <c r="A102" s="6">
        <f>IF(B102="","",ROW()-5)</f>
        <v/>
      </c>
      <c r="B102" s="7" t="n"/>
      <c r="C102" s="8" t="n"/>
      <c r="D102" s="8" t="n"/>
      <c r="E102" s="8">
        <f>IF(B102="","",C102+D102)</f>
        <v/>
      </c>
      <c r="F102" s="9" t="n"/>
      <c r="G102" s="9">
        <f>IFERROR(F102/30,0)</f>
        <v/>
      </c>
      <c r="H102" s="9">
        <f>IF(B102="","",E102*G102)</f>
        <v/>
      </c>
      <c r="I102" s="9" t="n"/>
      <c r="J102" s="9">
        <f>IF(B102="","",H102+I102)</f>
        <v/>
      </c>
      <c r="K102" s="9">
        <f>IF(B102="","",IFERROR(INDEX('Advance Sheet'!$L$6:$L$105,MATCH(B102,'Advance Sheet'!$B$6:$B$105,0)),0))</f>
        <v/>
      </c>
      <c r="L102" s="9" t="n"/>
      <c r="M102" s="9" t="n"/>
      <c r="N102" s="9" t="n"/>
      <c r="O102" s="9" t="n"/>
      <c r="P102" s="9">
        <f>IF(B102="","",J102-K102-M102-N102+O102)</f>
        <v/>
      </c>
    </row>
    <row r="103">
      <c r="A103" s="6">
        <f>IF(B103="","",ROW()-5)</f>
        <v/>
      </c>
      <c r="B103" s="7" t="n"/>
      <c r="C103" s="8" t="n"/>
      <c r="D103" s="8" t="n"/>
      <c r="E103" s="8">
        <f>IF(B103="","",C103+D103)</f>
        <v/>
      </c>
      <c r="F103" s="9" t="n"/>
      <c r="G103" s="9">
        <f>IFERROR(F103/30,0)</f>
        <v/>
      </c>
      <c r="H103" s="9">
        <f>IF(B103="","",E103*G103)</f>
        <v/>
      </c>
      <c r="I103" s="9" t="n"/>
      <c r="J103" s="9">
        <f>IF(B103="","",H103+I103)</f>
        <v/>
      </c>
      <c r="K103" s="9">
        <f>IF(B103="","",IFERROR(INDEX('Advance Sheet'!$L$6:$L$105,MATCH(B103,'Advance Sheet'!$B$6:$B$105,0)),0))</f>
        <v/>
      </c>
      <c r="L103" s="9" t="n"/>
      <c r="M103" s="9" t="n"/>
      <c r="N103" s="9" t="n"/>
      <c r="O103" s="9" t="n"/>
      <c r="P103" s="9">
        <f>IF(B103="","",J103-K103-M103-N103+O103)</f>
        <v/>
      </c>
    </row>
    <row r="104">
      <c r="A104" s="6">
        <f>IF(B104="","",ROW()-5)</f>
        <v/>
      </c>
      <c r="B104" s="7" t="n"/>
      <c r="C104" s="8" t="n"/>
      <c r="D104" s="8" t="n"/>
      <c r="E104" s="8">
        <f>IF(B104="","",C104+D104)</f>
        <v/>
      </c>
      <c r="F104" s="9" t="n"/>
      <c r="G104" s="9">
        <f>IFERROR(F104/30,0)</f>
        <v/>
      </c>
      <c r="H104" s="9">
        <f>IF(B104="","",E104*G104)</f>
        <v/>
      </c>
      <c r="I104" s="9" t="n"/>
      <c r="J104" s="9">
        <f>IF(B104="","",H104+I104)</f>
        <v/>
      </c>
      <c r="K104" s="9">
        <f>IF(B104="","",IFERROR(INDEX('Advance Sheet'!$L$6:$L$105,MATCH(B104,'Advance Sheet'!$B$6:$B$105,0)),0))</f>
        <v/>
      </c>
      <c r="L104" s="9" t="n"/>
      <c r="M104" s="9" t="n"/>
      <c r="N104" s="9" t="n"/>
      <c r="O104" s="9" t="n"/>
      <c r="P104" s="9">
        <f>IF(B104="","",J104-K104-M104-N104+O104)</f>
        <v/>
      </c>
    </row>
    <row r="106">
      <c r="A106" s="10" t="inlineStr">
        <is>
          <t>Formula notes:</t>
        </is>
      </c>
    </row>
    <row r="107">
      <c r="A107" s="11" t="inlineStr">
        <is>
          <t>Total Day = P Day + OT (first OT column). Per Day = RATE ÷ 30. Salary = Total Day × Per Day.</t>
        </is>
      </c>
    </row>
    <row r="108">
      <c r="A108" s="11" t="inlineStr">
        <is>
          <t>Total Salary = Salary + OT Amount. Salary Payable = Total Salary − Advance − Room Rent − Other + Back Salary.</t>
        </is>
      </c>
    </row>
    <row r="109" ht="30" customHeight="1">
      <c r="A109" s="11" t="inlineStr">
        <is>
          <t>Advance is linked automatically from the Advance Sheet total for the matching employee name. Enter/edit employee details only in the Salary Sheet and advance entries in the Advance Sheet.</t>
        </is>
      </c>
    </row>
  </sheetData>
  <autoFilter ref="A5:P104"/>
  <mergeCells count="5">
    <mergeCell ref="A107:P107"/>
    <mergeCell ref="A108:P108"/>
    <mergeCell ref="A1:P1"/>
    <mergeCell ref="A109:P109"/>
    <mergeCell ref="A2:P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HUBLI</t>
        </is>
      </c>
    </row>
    <row r="2">
      <c r="A2" s="2" t="inlineStr">
        <is>
          <t>EMPLOYEE ADVANCE REGISTER</t>
        </is>
      </c>
    </row>
    <row r="3">
      <c r="A3" t="inlineStr">
        <is>
          <t>Month:</t>
        </is>
      </c>
      <c r="B3" s="4" t="inlineStr"/>
      <c r="D3" t="inlineStr">
        <is>
          <t>Year:</t>
        </is>
      </c>
      <c r="E3" s="4" t="n">
        <v>2026</v>
      </c>
    </row>
    <row r="5" ht="30" customHeight="1">
      <c r="A5" s="5" t="inlineStr">
        <is>
          <t>Sr. No</t>
        </is>
      </c>
      <c r="B5" s="5" t="inlineStr">
        <is>
          <t>NAME</t>
        </is>
      </c>
      <c r="C5" s="5" t="inlineStr">
        <is>
          <t>Date 1</t>
        </is>
      </c>
      <c r="D5" s="5" t="inlineStr">
        <is>
          <t>Date 2</t>
        </is>
      </c>
      <c r="E5" s="5" t="inlineStr">
        <is>
          <t>Date 3</t>
        </is>
      </c>
      <c r="F5" s="5" t="inlineStr">
        <is>
          <t>Date 4</t>
        </is>
      </c>
      <c r="G5" s="5" t="inlineStr">
        <is>
          <t>Date 5</t>
        </is>
      </c>
      <c r="H5" s="5" t="inlineStr">
        <is>
          <t>Date 6</t>
        </is>
      </c>
      <c r="I5" s="5" t="inlineStr">
        <is>
          <t>Date 7</t>
        </is>
      </c>
      <c r="J5" s="5" t="inlineStr">
        <is>
          <t>Date 8</t>
        </is>
      </c>
      <c r="K5" s="5" t="inlineStr">
        <is>
          <t>Date 9</t>
        </is>
      </c>
      <c r="L5" s="5" t="inlineStr">
        <is>
          <t>Date 10</t>
        </is>
      </c>
      <c r="M5" t="inlineStr">
        <is>
          <t>TOTAL</t>
        </is>
      </c>
    </row>
    <row r="6">
      <c r="A6" s="6">
        <f>IF(B6="","",ROW()-5)</f>
        <v/>
      </c>
      <c r="B6" s="7" t="n"/>
      <c r="C6" s="9" t="n"/>
      <c r="D6" s="9" t="n"/>
      <c r="E6" s="9" t="n"/>
      <c r="F6" s="9" t="n"/>
      <c r="G6" s="9" t="n"/>
      <c r="H6" s="9" t="n"/>
      <c r="I6" s="9" t="n"/>
      <c r="J6" s="9" t="n"/>
      <c r="K6" s="9" t="n"/>
      <c r="L6" s="9">
        <f>IF(B6="","",SUM(C6:K6))</f>
        <v/>
      </c>
    </row>
    <row r="7">
      <c r="A7" s="6">
        <f>IF(B7="","",ROW()-5)</f>
        <v/>
      </c>
      <c r="B7" s="7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>
        <f>IF(B7="","",SUM(C7:K7))</f>
        <v/>
      </c>
    </row>
    <row r="8">
      <c r="A8" s="6">
        <f>IF(B8="","",ROW()-5)</f>
        <v/>
      </c>
      <c r="B8" s="7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  <c r="L8" s="9">
        <f>IF(B8="","",SUM(C8:K8))</f>
        <v/>
      </c>
    </row>
    <row r="9">
      <c r="A9" s="6">
        <f>IF(B9="","",ROW()-5)</f>
        <v/>
      </c>
      <c r="B9" s="7" t="n"/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>
        <f>IF(B9="","",SUM(C9:K9))</f>
        <v/>
      </c>
    </row>
    <row r="10">
      <c r="A10" s="6">
        <f>IF(B10="","",ROW()-5)</f>
        <v/>
      </c>
      <c r="B10" s="7" t="n"/>
      <c r="C10" s="9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>
        <f>IF(B10="","",SUM(C10:K10))</f>
        <v/>
      </c>
    </row>
    <row r="11">
      <c r="A11" s="6">
        <f>IF(B11="","",ROW()-5)</f>
        <v/>
      </c>
      <c r="B11" s="7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>
        <f>IF(B11="","",SUM(C11:K11))</f>
        <v/>
      </c>
    </row>
    <row r="12">
      <c r="A12" s="6">
        <f>IF(B12="","",ROW()-5)</f>
        <v/>
      </c>
      <c r="B12" s="7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>
        <f>IF(B12="","",SUM(C12:K12))</f>
        <v/>
      </c>
    </row>
    <row r="13">
      <c r="A13" s="6">
        <f>IF(B13="","",ROW()-5)</f>
        <v/>
      </c>
      <c r="B13" s="7" t="n"/>
      <c r="C13" s="9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>
        <f>IF(B13="","",SUM(C13:K13))</f>
        <v/>
      </c>
    </row>
    <row r="14">
      <c r="A14" s="6">
        <f>IF(B14="","",ROW()-5)</f>
        <v/>
      </c>
      <c r="B14" s="7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>
        <f>IF(B14="","",SUM(C14:K14))</f>
        <v/>
      </c>
    </row>
    <row r="15">
      <c r="A15" s="6">
        <f>IF(B15="","",ROW()-5)</f>
        <v/>
      </c>
      <c r="B15" s="7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>
        <f>IF(B15="","",SUM(C15:K15))</f>
        <v/>
      </c>
    </row>
    <row r="16">
      <c r="A16" s="6">
        <f>IF(B16="","",ROW()-5)</f>
        <v/>
      </c>
      <c r="B16" s="7" t="n"/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>
        <f>IF(B16="","",SUM(C16:K16))</f>
        <v/>
      </c>
    </row>
    <row r="17">
      <c r="A17" s="6">
        <f>IF(B17="","",ROW()-5)</f>
        <v/>
      </c>
      <c r="B17" s="7" t="n"/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>
        <f>IF(B17="","",SUM(C17:K17))</f>
        <v/>
      </c>
    </row>
    <row r="18">
      <c r="A18" s="6">
        <f>IF(B18="","",ROW()-5)</f>
        <v/>
      </c>
      <c r="B18" s="7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>
        <f>IF(B18="","",SUM(C18:K18))</f>
        <v/>
      </c>
    </row>
    <row r="19">
      <c r="A19" s="6">
        <f>IF(B19="","",ROW()-5)</f>
        <v/>
      </c>
      <c r="B19" s="7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>
        <f>IF(B19="","",SUM(C19:K19))</f>
        <v/>
      </c>
    </row>
    <row r="20">
      <c r="A20" s="6">
        <f>IF(B20="","",ROW()-5)</f>
        <v/>
      </c>
      <c r="B20" s="7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>
        <f>IF(B20="","",SUM(C20:K20))</f>
        <v/>
      </c>
    </row>
    <row r="21">
      <c r="A21" s="6">
        <f>IF(B21="","",ROW()-5)</f>
        <v/>
      </c>
      <c r="B21" s="7" t="n"/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>
        <f>IF(B21="","",SUM(C21:K21))</f>
        <v/>
      </c>
    </row>
    <row r="22">
      <c r="A22" s="6">
        <f>IF(B22="","",ROW()-5)</f>
        <v/>
      </c>
      <c r="B22" s="7" t="n"/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>
        <f>IF(B22="","",SUM(C22:K22))</f>
        <v/>
      </c>
    </row>
    <row r="23">
      <c r="A23" s="6">
        <f>IF(B23="","",ROW()-5)</f>
        <v/>
      </c>
      <c r="B23" s="7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>
        <f>IF(B23="","",SUM(C23:K23))</f>
        <v/>
      </c>
    </row>
    <row r="24">
      <c r="A24" s="6">
        <f>IF(B24="","",ROW()-5)</f>
        <v/>
      </c>
      <c r="B24" s="7" t="n"/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>
        <f>IF(B24="","",SUM(C24:K24))</f>
        <v/>
      </c>
    </row>
    <row r="25">
      <c r="A25" s="6">
        <f>IF(B25="","",ROW()-5)</f>
        <v/>
      </c>
      <c r="B25" s="7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>
        <f>IF(B25="","",SUM(C25:K25))</f>
        <v/>
      </c>
    </row>
    <row r="26">
      <c r="A26" s="6">
        <f>IF(B26="","",ROW()-5)</f>
        <v/>
      </c>
      <c r="B26" s="7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>
        <f>IF(B26="","",SUM(C26:K26))</f>
        <v/>
      </c>
    </row>
    <row r="27">
      <c r="A27" s="6">
        <f>IF(B27="","",ROW()-5)</f>
        <v/>
      </c>
      <c r="B27" s="7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>
        <f>IF(B27="","",SUM(C27:K27))</f>
        <v/>
      </c>
    </row>
    <row r="28">
      <c r="A28" s="6">
        <f>IF(B28="","",ROW()-5)</f>
        <v/>
      </c>
      <c r="B28" s="7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>
        <f>IF(B28="","",SUM(C28:K28))</f>
        <v/>
      </c>
    </row>
    <row r="29">
      <c r="A29" s="6">
        <f>IF(B29="","",ROW()-5)</f>
        <v/>
      </c>
      <c r="B29" s="7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>
        <f>IF(B29="","",SUM(C29:K29))</f>
        <v/>
      </c>
    </row>
    <row r="30">
      <c r="A30" s="6">
        <f>IF(B30="","",ROW()-5)</f>
        <v/>
      </c>
      <c r="B30" s="7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>
        <f>IF(B30="","",SUM(C30:K30))</f>
        <v/>
      </c>
    </row>
    <row r="31">
      <c r="A31" s="6">
        <f>IF(B31="","",ROW()-5)</f>
        <v/>
      </c>
      <c r="B31" s="7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>
        <f>IF(B31="","",SUM(C31:K31))</f>
        <v/>
      </c>
    </row>
    <row r="32">
      <c r="A32" s="6">
        <f>IF(B32="","",ROW()-5)</f>
        <v/>
      </c>
      <c r="B32" s="7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>
        <f>IF(B32="","",SUM(C32:K32))</f>
        <v/>
      </c>
    </row>
    <row r="33">
      <c r="A33" s="6">
        <f>IF(B33="","",ROW()-5)</f>
        <v/>
      </c>
      <c r="B33" s="7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>
        <f>IF(B33="","",SUM(C33:K33))</f>
        <v/>
      </c>
    </row>
    <row r="34">
      <c r="A34" s="6">
        <f>IF(B34="","",ROW()-5)</f>
        <v/>
      </c>
      <c r="B34" s="7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>
        <f>IF(B34="","",SUM(C34:K34))</f>
        <v/>
      </c>
    </row>
    <row r="35">
      <c r="A35" s="6">
        <f>IF(B35="","",ROW()-5)</f>
        <v/>
      </c>
      <c r="B35" s="7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>
        <f>IF(B35="","",SUM(C35:K35))</f>
        <v/>
      </c>
    </row>
    <row r="36">
      <c r="A36" s="6">
        <f>IF(B36="","",ROW()-5)</f>
        <v/>
      </c>
      <c r="B36" s="7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>
        <f>IF(B36="","",SUM(C36:K36))</f>
        <v/>
      </c>
    </row>
    <row r="37">
      <c r="A37" s="6">
        <f>IF(B37="","",ROW()-5)</f>
        <v/>
      </c>
      <c r="B37" s="7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>
        <f>IF(B37="","",SUM(C37:K37))</f>
        <v/>
      </c>
    </row>
    <row r="38">
      <c r="A38" s="6">
        <f>IF(B38="","",ROW()-5)</f>
        <v/>
      </c>
      <c r="B38" s="7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>
        <f>IF(B38="","",SUM(C38:K38))</f>
        <v/>
      </c>
    </row>
    <row r="39">
      <c r="A39" s="6">
        <f>IF(B39="","",ROW()-5)</f>
        <v/>
      </c>
      <c r="B39" s="7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>
        <f>IF(B39="","",SUM(C39:K39))</f>
        <v/>
      </c>
    </row>
    <row r="40">
      <c r="A40" s="6">
        <f>IF(B40="","",ROW()-5)</f>
        <v/>
      </c>
      <c r="B40" s="7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>
        <f>IF(B40="","",SUM(C40:K40))</f>
        <v/>
      </c>
    </row>
    <row r="41">
      <c r="A41" s="6">
        <f>IF(B41="","",ROW()-5)</f>
        <v/>
      </c>
      <c r="B41" s="7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>
        <f>IF(B41="","",SUM(C41:K41))</f>
        <v/>
      </c>
    </row>
    <row r="42">
      <c r="A42" s="6">
        <f>IF(B42="","",ROW()-5)</f>
        <v/>
      </c>
      <c r="B42" s="7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>
        <f>IF(B42="","",SUM(C42:K42))</f>
        <v/>
      </c>
    </row>
    <row r="43">
      <c r="A43" s="6">
        <f>IF(B43="","",ROW()-5)</f>
        <v/>
      </c>
      <c r="B43" s="7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>
        <f>IF(B43="","",SUM(C43:K43))</f>
        <v/>
      </c>
    </row>
    <row r="44">
      <c r="A44" s="6">
        <f>IF(B44="","",ROW()-5)</f>
        <v/>
      </c>
      <c r="B44" s="7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>
        <f>IF(B44="","",SUM(C44:K44))</f>
        <v/>
      </c>
    </row>
    <row r="45">
      <c r="A45" s="6">
        <f>IF(B45="","",ROW()-5)</f>
        <v/>
      </c>
      <c r="B45" s="7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>
        <f>IF(B45="","",SUM(C45:K45))</f>
        <v/>
      </c>
    </row>
    <row r="46">
      <c r="A46" s="6">
        <f>IF(B46="","",ROW()-5)</f>
        <v/>
      </c>
      <c r="B46" s="7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>
        <f>IF(B46="","",SUM(C46:K46))</f>
        <v/>
      </c>
    </row>
    <row r="47">
      <c r="A47" s="6">
        <f>IF(B47="","",ROW()-5)</f>
        <v/>
      </c>
      <c r="B47" s="7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>
        <f>IF(B47="","",SUM(C47:K47))</f>
        <v/>
      </c>
    </row>
    <row r="48">
      <c r="A48" s="6">
        <f>IF(B48="","",ROW()-5)</f>
        <v/>
      </c>
      <c r="B48" s="7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>
        <f>IF(B48="","",SUM(C48:K48))</f>
        <v/>
      </c>
    </row>
    <row r="49">
      <c r="A49" s="6">
        <f>IF(B49="","",ROW()-5)</f>
        <v/>
      </c>
      <c r="B49" s="7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>
        <f>IF(B49="","",SUM(C49:K49))</f>
        <v/>
      </c>
    </row>
    <row r="50">
      <c r="A50" s="6">
        <f>IF(B50="","",ROW()-5)</f>
        <v/>
      </c>
      <c r="B50" s="7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>
        <f>IF(B50="","",SUM(C50:K50))</f>
        <v/>
      </c>
    </row>
    <row r="51">
      <c r="A51" s="6">
        <f>IF(B51="","",ROW()-5)</f>
        <v/>
      </c>
      <c r="B51" s="7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>
        <f>IF(B51="","",SUM(C51:K51))</f>
        <v/>
      </c>
    </row>
    <row r="52">
      <c r="A52" s="6">
        <f>IF(B52="","",ROW()-5)</f>
        <v/>
      </c>
      <c r="B52" s="7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>
        <f>IF(B52="","",SUM(C52:K52))</f>
        <v/>
      </c>
    </row>
    <row r="53">
      <c r="A53" s="6">
        <f>IF(B53="","",ROW()-5)</f>
        <v/>
      </c>
      <c r="B53" s="7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>
        <f>IF(B53="","",SUM(C53:K53))</f>
        <v/>
      </c>
    </row>
    <row r="54">
      <c r="A54" s="6">
        <f>IF(B54="","",ROW()-5)</f>
        <v/>
      </c>
      <c r="B54" s="7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>
        <f>IF(B54="","",SUM(C54:K54))</f>
        <v/>
      </c>
    </row>
    <row r="55">
      <c r="A55" s="6">
        <f>IF(B55="","",ROW()-5)</f>
        <v/>
      </c>
      <c r="B55" s="7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>
        <f>IF(B55="","",SUM(C55:K55))</f>
        <v/>
      </c>
    </row>
    <row r="56">
      <c r="A56" s="6">
        <f>IF(B56="","",ROW()-5)</f>
        <v/>
      </c>
      <c r="B56" s="7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>
        <f>IF(B56="","",SUM(C56:K56))</f>
        <v/>
      </c>
    </row>
    <row r="57">
      <c r="A57" s="6">
        <f>IF(B57="","",ROW()-5)</f>
        <v/>
      </c>
      <c r="B57" s="7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>
        <f>IF(B57="","",SUM(C57:K57))</f>
        <v/>
      </c>
    </row>
    <row r="58">
      <c r="A58" s="6">
        <f>IF(B58="","",ROW()-5)</f>
        <v/>
      </c>
      <c r="B58" s="7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>
        <f>IF(B58="","",SUM(C58:K58))</f>
        <v/>
      </c>
    </row>
    <row r="59">
      <c r="A59" s="6">
        <f>IF(B59="","",ROW()-5)</f>
        <v/>
      </c>
      <c r="B59" s="7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>
        <f>IF(B59="","",SUM(C59:K59))</f>
        <v/>
      </c>
    </row>
    <row r="60">
      <c r="A60" s="6">
        <f>IF(B60="","",ROW()-5)</f>
        <v/>
      </c>
      <c r="B60" s="7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>
        <f>IF(B60="","",SUM(C60:K60))</f>
        <v/>
      </c>
    </row>
    <row r="61">
      <c r="A61" s="6">
        <f>IF(B61="","",ROW()-5)</f>
        <v/>
      </c>
      <c r="B61" s="7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>
        <f>IF(B61="","",SUM(C61:K61))</f>
        <v/>
      </c>
    </row>
    <row r="62">
      <c r="A62" s="6">
        <f>IF(B62="","",ROW()-5)</f>
        <v/>
      </c>
      <c r="B62" s="7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>
        <f>IF(B62="","",SUM(C62:K62))</f>
        <v/>
      </c>
    </row>
    <row r="63">
      <c r="A63" s="6">
        <f>IF(B63="","",ROW()-5)</f>
        <v/>
      </c>
      <c r="B63" s="7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>
        <f>IF(B63="","",SUM(C63:K63))</f>
        <v/>
      </c>
    </row>
    <row r="64">
      <c r="A64" s="6">
        <f>IF(B64="","",ROW()-5)</f>
        <v/>
      </c>
      <c r="B64" s="7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>
        <f>IF(B64="","",SUM(C64:K64))</f>
        <v/>
      </c>
    </row>
    <row r="65">
      <c r="A65" s="6">
        <f>IF(B65="","",ROW()-5)</f>
        <v/>
      </c>
      <c r="B65" s="7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>
        <f>IF(B65="","",SUM(C65:K65))</f>
        <v/>
      </c>
    </row>
    <row r="66">
      <c r="A66" s="6">
        <f>IF(B66="","",ROW()-5)</f>
        <v/>
      </c>
      <c r="B66" s="7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>
        <f>IF(B66="","",SUM(C66:K66))</f>
        <v/>
      </c>
    </row>
    <row r="67">
      <c r="A67" s="6">
        <f>IF(B67="","",ROW()-5)</f>
        <v/>
      </c>
      <c r="B67" s="7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>
        <f>IF(B67="","",SUM(C67:K67))</f>
        <v/>
      </c>
    </row>
    <row r="68">
      <c r="A68" s="6">
        <f>IF(B68="","",ROW()-5)</f>
        <v/>
      </c>
      <c r="B68" s="7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>
        <f>IF(B68="","",SUM(C68:K68))</f>
        <v/>
      </c>
    </row>
    <row r="69">
      <c r="A69" s="6">
        <f>IF(B69="","",ROW()-5)</f>
        <v/>
      </c>
      <c r="B69" s="7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>
        <f>IF(B69="","",SUM(C69:K69))</f>
        <v/>
      </c>
    </row>
    <row r="70">
      <c r="A70" s="6">
        <f>IF(B70="","",ROW()-5)</f>
        <v/>
      </c>
      <c r="B70" s="7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>
        <f>IF(B70="","",SUM(C70:K70))</f>
        <v/>
      </c>
    </row>
    <row r="71">
      <c r="A71" s="6">
        <f>IF(B71="","",ROW()-5)</f>
        <v/>
      </c>
      <c r="B71" s="7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>
        <f>IF(B71="","",SUM(C71:K71))</f>
        <v/>
      </c>
    </row>
    <row r="72">
      <c r="A72" s="6">
        <f>IF(B72="","",ROW()-5)</f>
        <v/>
      </c>
      <c r="B72" s="7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>
        <f>IF(B72="","",SUM(C72:K72))</f>
        <v/>
      </c>
    </row>
    <row r="73">
      <c r="A73" s="6">
        <f>IF(B73="","",ROW()-5)</f>
        <v/>
      </c>
      <c r="B73" s="7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>
        <f>IF(B73="","",SUM(C73:K73))</f>
        <v/>
      </c>
    </row>
    <row r="74">
      <c r="A74" s="6">
        <f>IF(B74="","",ROW()-5)</f>
        <v/>
      </c>
      <c r="B74" s="7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>
        <f>IF(B74="","",SUM(C74:K74))</f>
        <v/>
      </c>
    </row>
    <row r="75">
      <c r="A75" s="6">
        <f>IF(B75="","",ROW()-5)</f>
        <v/>
      </c>
      <c r="B75" s="7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>
        <f>IF(B75="","",SUM(C75:K75))</f>
        <v/>
      </c>
    </row>
    <row r="76">
      <c r="A76" s="6">
        <f>IF(B76="","",ROW()-5)</f>
        <v/>
      </c>
      <c r="B76" s="7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>
        <f>IF(B76="","",SUM(C76:K76))</f>
        <v/>
      </c>
    </row>
    <row r="77">
      <c r="A77" s="6">
        <f>IF(B77="","",ROW()-5)</f>
        <v/>
      </c>
      <c r="B77" s="7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>
        <f>IF(B77="","",SUM(C77:K77))</f>
        <v/>
      </c>
    </row>
    <row r="78">
      <c r="A78" s="6">
        <f>IF(B78="","",ROW()-5)</f>
        <v/>
      </c>
      <c r="B78" s="7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>
        <f>IF(B78="","",SUM(C78:K78))</f>
        <v/>
      </c>
    </row>
    <row r="79">
      <c r="A79" s="6">
        <f>IF(B79="","",ROW()-5)</f>
        <v/>
      </c>
      <c r="B79" s="7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>
        <f>IF(B79="","",SUM(C79:K79))</f>
        <v/>
      </c>
    </row>
    <row r="80">
      <c r="A80" s="6">
        <f>IF(B80="","",ROW()-5)</f>
        <v/>
      </c>
      <c r="B80" s="7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>
        <f>IF(B80="","",SUM(C80:K80))</f>
        <v/>
      </c>
    </row>
    <row r="81">
      <c r="A81" s="6">
        <f>IF(B81="","",ROW()-5)</f>
        <v/>
      </c>
      <c r="B81" s="7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>
        <f>IF(B81="","",SUM(C81:K81))</f>
        <v/>
      </c>
    </row>
    <row r="82">
      <c r="A82" s="6">
        <f>IF(B82="","",ROW()-5)</f>
        <v/>
      </c>
      <c r="B82" s="7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>
        <f>IF(B82="","",SUM(C82:K82))</f>
        <v/>
      </c>
    </row>
    <row r="83">
      <c r="A83" s="6">
        <f>IF(B83="","",ROW()-5)</f>
        <v/>
      </c>
      <c r="B83" s="7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>
        <f>IF(B83="","",SUM(C83:K83))</f>
        <v/>
      </c>
    </row>
    <row r="84">
      <c r="A84" s="6">
        <f>IF(B84="","",ROW()-5)</f>
        <v/>
      </c>
      <c r="B84" s="7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>
        <f>IF(B84="","",SUM(C84:K84))</f>
        <v/>
      </c>
    </row>
    <row r="85">
      <c r="A85" s="6">
        <f>IF(B85="","",ROW()-5)</f>
        <v/>
      </c>
      <c r="B85" s="7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>
        <f>IF(B85="","",SUM(C85:K85))</f>
        <v/>
      </c>
    </row>
    <row r="86">
      <c r="A86" s="6">
        <f>IF(B86="","",ROW()-5)</f>
        <v/>
      </c>
      <c r="B86" s="7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>
        <f>IF(B86="","",SUM(C86:K86))</f>
        <v/>
      </c>
    </row>
    <row r="87">
      <c r="A87" s="6">
        <f>IF(B87="","",ROW()-5)</f>
        <v/>
      </c>
      <c r="B87" s="7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>
        <f>IF(B87="","",SUM(C87:K87))</f>
        <v/>
      </c>
    </row>
    <row r="88">
      <c r="A88" s="6">
        <f>IF(B88="","",ROW()-5)</f>
        <v/>
      </c>
      <c r="B88" s="7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>
        <f>IF(B88="","",SUM(C88:K88))</f>
        <v/>
      </c>
    </row>
    <row r="89">
      <c r="A89" s="6">
        <f>IF(B89="","",ROW()-5)</f>
        <v/>
      </c>
      <c r="B89" s="7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>
        <f>IF(B89="","",SUM(C89:K89))</f>
        <v/>
      </c>
    </row>
    <row r="90">
      <c r="A90" s="6">
        <f>IF(B90="","",ROW()-5)</f>
        <v/>
      </c>
      <c r="B90" s="7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>
        <f>IF(B90="","",SUM(C90:K90))</f>
        <v/>
      </c>
    </row>
    <row r="91">
      <c r="A91" s="6">
        <f>IF(B91="","",ROW()-5)</f>
        <v/>
      </c>
      <c r="B91" s="7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>
        <f>IF(B91="","",SUM(C91:K91))</f>
        <v/>
      </c>
    </row>
    <row r="92">
      <c r="A92" s="6">
        <f>IF(B92="","",ROW()-5)</f>
        <v/>
      </c>
      <c r="B92" s="7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>
        <f>IF(B92="","",SUM(C92:K92))</f>
        <v/>
      </c>
    </row>
    <row r="93">
      <c r="A93" s="6">
        <f>IF(B93="","",ROW()-5)</f>
        <v/>
      </c>
      <c r="B93" s="7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>
        <f>IF(B93="","",SUM(C93:K93))</f>
        <v/>
      </c>
    </row>
    <row r="94">
      <c r="A94" s="6">
        <f>IF(B94="","",ROW()-5)</f>
        <v/>
      </c>
      <c r="B94" s="7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>
        <f>IF(B94="","",SUM(C94:K94))</f>
        <v/>
      </c>
    </row>
    <row r="95">
      <c r="A95" s="6">
        <f>IF(B95="","",ROW()-5)</f>
        <v/>
      </c>
      <c r="B95" s="7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>
        <f>IF(B95="","",SUM(C95:K95))</f>
        <v/>
      </c>
    </row>
    <row r="96">
      <c r="A96" s="6">
        <f>IF(B96="","",ROW()-5)</f>
        <v/>
      </c>
      <c r="B96" s="7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>
        <f>IF(B96="","",SUM(C96:K96))</f>
        <v/>
      </c>
    </row>
    <row r="97">
      <c r="A97" s="6">
        <f>IF(B97="","",ROW()-5)</f>
        <v/>
      </c>
      <c r="B97" s="7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>
        <f>IF(B97="","",SUM(C97:K97))</f>
        <v/>
      </c>
    </row>
    <row r="98">
      <c r="A98" s="6">
        <f>IF(B98="","",ROW()-5)</f>
        <v/>
      </c>
      <c r="B98" s="7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>
        <f>IF(B98="","",SUM(C98:K98))</f>
        <v/>
      </c>
    </row>
    <row r="99">
      <c r="A99" s="6">
        <f>IF(B99="","",ROW()-5)</f>
        <v/>
      </c>
      <c r="B99" s="7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>
        <f>IF(B99="","",SUM(C99:K99))</f>
        <v/>
      </c>
    </row>
    <row r="100">
      <c r="A100" s="6">
        <f>IF(B100="","",ROW()-5)</f>
        <v/>
      </c>
      <c r="B100" s="7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>
        <f>IF(B100="","",SUM(C100:K100))</f>
        <v/>
      </c>
    </row>
    <row r="101">
      <c r="A101" s="6">
        <f>IF(B101="","",ROW()-5)</f>
        <v/>
      </c>
      <c r="B101" s="7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>
        <f>IF(B101="","",SUM(C101:K101))</f>
        <v/>
      </c>
    </row>
    <row r="102">
      <c r="A102" s="6">
        <f>IF(B102="","",ROW()-5)</f>
        <v/>
      </c>
      <c r="B102" s="7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>
        <f>IF(B102="","",SUM(C102:K102))</f>
        <v/>
      </c>
    </row>
    <row r="103">
      <c r="A103" s="6">
        <f>IF(B103="","",ROW()-5)</f>
        <v/>
      </c>
      <c r="B103" s="7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>
        <f>IF(B103="","",SUM(C103:K103))</f>
        <v/>
      </c>
    </row>
    <row r="104">
      <c r="A104" s="6">
        <f>IF(B104="","",ROW()-5)</f>
        <v/>
      </c>
      <c r="B104" s="7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>
        <f>IF(B104="","",SUM(C104:K104))</f>
        <v/>
      </c>
    </row>
    <row r="105">
      <c r="A105" s="6">
        <f>IF(B105="","",ROW()-5)</f>
        <v/>
      </c>
      <c r="B105" s="7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>
        <f>IF(B105="","",SUM(C105:K105))</f>
        <v/>
      </c>
    </row>
    <row r="107">
      <c r="A107" s="12" t="inlineStr">
        <is>
          <t>Enter payment dates in the header row (C5:K5) and enter each employee's advance amount under the relevant date.</t>
        </is>
      </c>
    </row>
    <row r="108">
      <c r="A108" s="12" t="inlineStr">
        <is>
          <t>The TOTAL column is linked to the Salary Sheet's Advance column by matching employee name.</t>
        </is>
      </c>
    </row>
  </sheetData>
  <autoFilter ref="A5:L105"/>
  <mergeCells count="4">
    <mergeCell ref="A108:L108"/>
    <mergeCell ref="A2:L2"/>
    <mergeCell ref="A107:L107"/>
    <mergeCell ref="A1:L1"/>
  </mergeCells>
  <dataValidations count="1">
    <dataValidation sqref="B6:B105" showDropDown="0" showInputMessage="0" showErrorMessage="0" allowBlank="1" type="list">
      <formula1>'Salary Sheet'!$B$6:$B$104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2026-10-30T12:50:04Z</dcterms:created>
  <dcterms:modified xmlns:dcterms="http://purl.org/dc/terms/" xmlns:xsi="http://www.w3.org/2001/XMLSchema-instance" xsi:type="dcterms:W3CDTF">2026-10-30T12:50:04Z</dcterms:modified>
</cp:coreProperties>
</file>